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갑철 대표이사\Desktop\살아가기\"/>
    </mc:Choice>
  </mc:AlternateContent>
  <xr:revisionPtr revIDLastSave="0" documentId="13_ncr:1_{C19BCC06-D595-46D7-A7D9-8723258AE732}" xr6:coauthVersionLast="47" xr6:coauthVersionMax="47" xr10:uidLastSave="{00000000-0000-0000-0000-000000000000}"/>
  <bookViews>
    <workbookView xWindow="-120" yWindow="-120" windowWidth="29040" windowHeight="15840" tabRatio="853" activeTab="4" xr2:uid="{7D88B7E5-5CC5-497C-AC81-54B168BF20F5}"/>
  </bookViews>
  <sheets>
    <sheet name="현자산" sheetId="1" r:id="rId1"/>
    <sheet name="기초연금" sheetId="46" r:id="rId2"/>
    <sheet name="관리비" sheetId="34" r:id="rId3"/>
    <sheet name="실사용현황" sheetId="45" r:id="rId4"/>
    <sheet name="주택연금26년_상가31년_100만" sheetId="47" r:id="rId5"/>
    <sheet name="주택연금26년_상가31년_100만(구)" sheetId="43" r:id="rId6"/>
    <sheet name="주택연금26년_상가31년_120만(구)" sheetId="44" r:id="rId7"/>
    <sheet name="보증잔액 Table" sheetId="3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5" i="47" l="1"/>
  <c r="D49" i="47"/>
  <c r="D48" i="47" l="1"/>
  <c r="K16" i="45"/>
  <c r="M20" i="45"/>
  <c r="M19" i="45" s="1"/>
  <c r="M87" i="45"/>
  <c r="M82" i="45"/>
  <c r="M54" i="45"/>
  <c r="M50" i="45"/>
  <c r="M46" i="45"/>
  <c r="M39" i="45"/>
  <c r="M30" i="45" s="1"/>
  <c r="M37" i="45"/>
  <c r="M28" i="45" s="1"/>
  <c r="M34" i="45"/>
  <c r="M33" i="45"/>
  <c r="M32" i="45"/>
  <c r="M29" i="45"/>
  <c r="M15" i="45"/>
  <c r="M11" i="45"/>
  <c r="D12" i="45"/>
  <c r="D16" i="45"/>
  <c r="K20" i="45"/>
  <c r="E41" i="47"/>
  <c r="J87" i="45"/>
  <c r="J20" i="45"/>
  <c r="J64" i="45"/>
  <c r="M27" i="45" l="1"/>
  <c r="M24" i="45" s="1"/>
  <c r="H35" i="45"/>
  <c r="G128" i="47" l="1"/>
  <c r="G154" i="47"/>
  <c r="G141" i="47"/>
  <c r="G153" i="47"/>
  <c r="G140" i="47"/>
  <c r="G127" i="47"/>
  <c r="G113" i="47"/>
  <c r="F109" i="47" s="1"/>
  <c r="G99" i="47"/>
  <c r="G101" i="47"/>
  <c r="G155" i="47"/>
  <c r="G142" i="47"/>
  <c r="G129" i="47"/>
  <c r="G116" i="47"/>
  <c r="G102" i="47"/>
  <c r="G78" i="47"/>
  <c r="G62" i="47"/>
  <c r="G46" i="47"/>
  <c r="J39" i="45"/>
  <c r="J30" i="45" s="1"/>
  <c r="C153" i="47"/>
  <c r="C140" i="47"/>
  <c r="C127" i="47"/>
  <c r="E57" i="47"/>
  <c r="G39" i="47"/>
  <c r="E19" i="45"/>
  <c r="G20" i="45"/>
  <c r="D20" i="45" s="1"/>
  <c r="G39" i="45"/>
  <c r="C195" i="47"/>
  <c r="C194" i="47"/>
  <c r="C186" i="47"/>
  <c r="C185" i="47"/>
  <c r="C184" i="47"/>
  <c r="C173" i="47"/>
  <c r="C172" i="47"/>
  <c r="C163" i="47"/>
  <c r="C156" i="47"/>
  <c r="C155" i="47"/>
  <c r="L153" i="47"/>
  <c r="M153" i="47" s="1"/>
  <c r="G152" i="47"/>
  <c r="C143" i="47"/>
  <c r="C142" i="47"/>
  <c r="L140" i="47"/>
  <c r="M140" i="47" s="1"/>
  <c r="G139" i="47"/>
  <c r="C130" i="47"/>
  <c r="C129" i="47"/>
  <c r="L127" i="47"/>
  <c r="M127" i="47" s="1"/>
  <c r="G126" i="47"/>
  <c r="G118" i="47"/>
  <c r="C117" i="47"/>
  <c r="C116" i="47"/>
  <c r="G115" i="47"/>
  <c r="L113" i="47"/>
  <c r="M113" i="47" s="1"/>
  <c r="G112" i="47"/>
  <c r="G104" i="47"/>
  <c r="C103" i="47"/>
  <c r="C102" i="47"/>
  <c r="G100" i="47"/>
  <c r="L99" i="47"/>
  <c r="M99" i="47" s="1"/>
  <c r="G98" i="47"/>
  <c r="G85" i="47"/>
  <c r="F85" i="47"/>
  <c r="G81" i="47"/>
  <c r="D78" i="47"/>
  <c r="C78" i="47"/>
  <c r="G76" i="47"/>
  <c r="G75" i="47"/>
  <c r="G74" i="47"/>
  <c r="G73" i="47"/>
  <c r="G72" i="47"/>
  <c r="E72" i="47"/>
  <c r="E98" i="47" s="1"/>
  <c r="E112" i="47" s="1"/>
  <c r="E126" i="47" s="1"/>
  <c r="E139" i="47" s="1"/>
  <c r="E152" i="47" s="1"/>
  <c r="G65" i="47"/>
  <c r="D62" i="47"/>
  <c r="C62" i="47"/>
  <c r="G60" i="47"/>
  <c r="G59" i="47"/>
  <c r="G58" i="47"/>
  <c r="G57" i="47"/>
  <c r="G56" i="47"/>
  <c r="E56" i="47"/>
  <c r="E55" i="47"/>
  <c r="G49" i="47"/>
  <c r="G48" i="47"/>
  <c r="C46" i="47"/>
  <c r="G44" i="47"/>
  <c r="G43" i="47"/>
  <c r="G42" i="47"/>
  <c r="G41" i="47"/>
  <c r="G40" i="47"/>
  <c r="E40" i="47"/>
  <c r="C170" i="47" s="1"/>
  <c r="C182" i="47" s="1"/>
  <c r="C192" i="47" s="1"/>
  <c r="C40" i="47"/>
  <c r="E38" i="47"/>
  <c r="C37" i="47"/>
  <c r="C53" i="47" s="1"/>
  <c r="C69" i="47" s="1"/>
  <c r="C95" i="47" s="1"/>
  <c r="C109" i="47" s="1"/>
  <c r="C123" i="47" s="1"/>
  <c r="C136" i="47" s="1"/>
  <c r="C149" i="47" s="1"/>
  <c r="D33" i="47"/>
  <c r="E151" i="47" s="1"/>
  <c r="B33" i="47"/>
  <c r="E71" i="47" s="1"/>
  <c r="G28" i="47"/>
  <c r="E28" i="47"/>
  <c r="G27" i="47"/>
  <c r="G24" i="47"/>
  <c r="C24" i="47"/>
  <c r="G25" i="47" s="1"/>
  <c r="G22" i="47"/>
  <c r="G21" i="47"/>
  <c r="C20" i="47"/>
  <c r="C19" i="47"/>
  <c r="C18" i="47" s="1"/>
  <c r="G10" i="47"/>
  <c r="G8" i="47"/>
  <c r="F4" i="47"/>
  <c r="D4" i="47"/>
  <c r="J58" i="45"/>
  <c r="J54" i="45" s="1"/>
  <c r="G39" i="43"/>
  <c r="K15" i="45"/>
  <c r="I88" i="45"/>
  <c r="H33" i="45"/>
  <c r="J33" i="45"/>
  <c r="P34" i="45"/>
  <c r="Q34" i="45" s="1"/>
  <c r="K34" i="45"/>
  <c r="J34" i="45"/>
  <c r="I34" i="45"/>
  <c r="H34" i="45"/>
  <c r="G34" i="45"/>
  <c r="F34" i="45"/>
  <c r="E34" i="45"/>
  <c r="I89" i="45"/>
  <c r="C102" i="43"/>
  <c r="D78" i="43"/>
  <c r="D62" i="43"/>
  <c r="I12" i="46"/>
  <c r="H12" i="46"/>
  <c r="I14" i="46"/>
  <c r="I15" i="46"/>
  <c r="I16" i="46"/>
  <c r="I13" i="46"/>
  <c r="H14" i="46"/>
  <c r="H15" i="46"/>
  <c r="H16" i="46"/>
  <c r="H13" i="46"/>
  <c r="G14" i="46"/>
  <c r="G15" i="46"/>
  <c r="G16" i="46"/>
  <c r="G13" i="46"/>
  <c r="F16" i="46"/>
  <c r="F15" i="46"/>
  <c r="F14" i="46"/>
  <c r="F13" i="46"/>
  <c r="F12" i="46"/>
  <c r="D13" i="46"/>
  <c r="C16" i="46"/>
  <c r="D16" i="46" s="1"/>
  <c r="C15" i="46"/>
  <c r="D15" i="46" s="1"/>
  <c r="C14" i="46"/>
  <c r="D14" i="46" s="1"/>
  <c r="C13" i="46"/>
  <c r="C12" i="46"/>
  <c r="D12" i="46" s="1"/>
  <c r="D8" i="46"/>
  <c r="K87" i="45"/>
  <c r="K39" i="45"/>
  <c r="K30" i="45" s="1"/>
  <c r="K82" i="45"/>
  <c r="K29" i="45" s="1"/>
  <c r="K54" i="45"/>
  <c r="K50" i="45"/>
  <c r="K33" i="45"/>
  <c r="K19" i="45"/>
  <c r="K11" i="45"/>
  <c r="C31" i="34"/>
  <c r="G31" i="34"/>
  <c r="J31" i="34"/>
  <c r="K31" i="34"/>
  <c r="L31" i="34"/>
  <c r="J82" i="45"/>
  <c r="J29" i="45" s="1"/>
  <c r="J50" i="45"/>
  <c r="J19" i="45"/>
  <c r="J15" i="45"/>
  <c r="J11" i="45"/>
  <c r="I83" i="45"/>
  <c r="J47" i="45" s="1"/>
  <c r="C30" i="34"/>
  <c r="M30" i="34" s="1"/>
  <c r="I8" i="45" s="1"/>
  <c r="K8" i="45" s="1"/>
  <c r="K30" i="34"/>
  <c r="L30" i="34"/>
  <c r="G30" i="34"/>
  <c r="J30" i="34"/>
  <c r="C170" i="43"/>
  <c r="K7" i="45" l="1"/>
  <c r="M7" i="45"/>
  <c r="M4" i="45" s="1"/>
  <c r="F95" i="47"/>
  <c r="C4" i="47"/>
  <c r="E39" i="47"/>
  <c r="G77" i="47"/>
  <c r="F69" i="47" s="1"/>
  <c r="G45" i="47"/>
  <c r="F37" i="47" s="1"/>
  <c r="E44" i="47" s="1"/>
  <c r="G61" i="47"/>
  <c r="F53" i="47" s="1"/>
  <c r="F123" i="47"/>
  <c r="F136" i="47"/>
  <c r="F149" i="47"/>
  <c r="F17" i="47"/>
  <c r="E24" i="47" s="1"/>
  <c r="E54" i="47"/>
  <c r="E138" i="47"/>
  <c r="E86" i="47"/>
  <c r="E85" i="47" s="1"/>
  <c r="C85" i="47" s="1"/>
  <c r="E97" i="47"/>
  <c r="C171" i="47" s="1"/>
  <c r="E111" i="47"/>
  <c r="E125" i="47"/>
  <c r="K32" i="45"/>
  <c r="J32" i="45"/>
  <c r="K46" i="45"/>
  <c r="K37" i="45" s="1"/>
  <c r="M31" i="34"/>
  <c r="J8" i="45" s="1"/>
  <c r="C194" i="43"/>
  <c r="C193" i="43"/>
  <c r="C171" i="43"/>
  <c r="C183" i="43"/>
  <c r="C185" i="43"/>
  <c r="C184" i="43"/>
  <c r="C172" i="43"/>
  <c r="I7" i="45"/>
  <c r="I11" i="45"/>
  <c r="H11" i="45"/>
  <c r="G11" i="45"/>
  <c r="F11" i="45"/>
  <c r="E15" i="45"/>
  <c r="F15" i="45"/>
  <c r="G15" i="45"/>
  <c r="H15" i="45"/>
  <c r="I15" i="45"/>
  <c r="H8" i="45"/>
  <c r="H7" i="45" s="1"/>
  <c r="G8" i="45"/>
  <c r="G7" i="45" s="1"/>
  <c r="F8" i="45"/>
  <c r="F7" i="45" s="1"/>
  <c r="E8" i="45"/>
  <c r="I54" i="45"/>
  <c r="D85" i="43"/>
  <c r="D85" i="44" s="1"/>
  <c r="E152" i="44"/>
  <c r="E139" i="44"/>
  <c r="E126" i="44"/>
  <c r="E112" i="44"/>
  <c r="E98" i="44"/>
  <c r="E72" i="44"/>
  <c r="E72" i="43"/>
  <c r="E98" i="43" s="1"/>
  <c r="E56" i="44"/>
  <c r="E40" i="44"/>
  <c r="E56" i="43"/>
  <c r="F85" i="44"/>
  <c r="F85" i="43"/>
  <c r="I19" i="45"/>
  <c r="F19" i="45"/>
  <c r="H19" i="45"/>
  <c r="I33" i="45"/>
  <c r="F33" i="45"/>
  <c r="G33" i="45"/>
  <c r="E33" i="45"/>
  <c r="E7" i="45" l="1"/>
  <c r="D8" i="45"/>
  <c r="D15" i="45"/>
  <c r="J7" i="45"/>
  <c r="K28" i="45"/>
  <c r="K27" i="45" s="1"/>
  <c r="D37" i="47"/>
  <c r="C44" i="47"/>
  <c r="D174" i="47"/>
  <c r="D175" i="47" s="1"/>
  <c r="C183" i="47"/>
  <c r="C193" i="47" s="1"/>
  <c r="C79" i="47"/>
  <c r="C63" i="47"/>
  <c r="C47" i="47"/>
  <c r="D17" i="47"/>
  <c r="C25" i="47"/>
  <c r="C26" i="47" s="1"/>
  <c r="C38" i="47" s="1"/>
  <c r="F35" i="47" s="1"/>
  <c r="E70" i="47"/>
  <c r="E60" i="47"/>
  <c r="C60" i="47" s="1"/>
  <c r="E11" i="45"/>
  <c r="D11" i="45" s="1"/>
  <c r="E112" i="43"/>
  <c r="E126" i="43" s="1"/>
  <c r="E139" i="43" s="1"/>
  <c r="E152" i="43" s="1"/>
  <c r="I50" i="45"/>
  <c r="I44" i="45"/>
  <c r="I39" i="45" s="1"/>
  <c r="I30" i="45" s="1"/>
  <c r="G100" i="44"/>
  <c r="G76" i="44"/>
  <c r="G60" i="44"/>
  <c r="G100" i="43"/>
  <c r="G76" i="43"/>
  <c r="G60" i="43"/>
  <c r="D25" i="45"/>
  <c r="G19" i="45"/>
  <c r="D19" i="45" s="1"/>
  <c r="P35" i="45"/>
  <c r="P33" i="45"/>
  <c r="P32" i="45"/>
  <c r="R34" i="45" s="1"/>
  <c r="H84" i="45"/>
  <c r="I48" i="45" s="1"/>
  <c r="H42" i="45"/>
  <c r="G72" i="44"/>
  <c r="G56" i="44"/>
  <c r="G40" i="44"/>
  <c r="G72" i="43"/>
  <c r="G56" i="43"/>
  <c r="K27" i="34"/>
  <c r="K28" i="34"/>
  <c r="K29" i="34"/>
  <c r="K26" i="34"/>
  <c r="G40" i="43"/>
  <c r="I22" i="34"/>
  <c r="E40" i="43"/>
  <c r="I25" i="34"/>
  <c r="H25" i="34"/>
  <c r="F25" i="34"/>
  <c r="E25" i="34"/>
  <c r="D25" i="34"/>
  <c r="G29" i="34"/>
  <c r="J29" i="34"/>
  <c r="C29" i="34" s="1"/>
  <c r="G28" i="34"/>
  <c r="J28" i="34"/>
  <c r="L28" i="34" s="1"/>
  <c r="G27" i="34"/>
  <c r="G26" i="34"/>
  <c r="J26" i="34"/>
  <c r="L26" i="34" s="1"/>
  <c r="L27" i="34"/>
  <c r="H95" i="45"/>
  <c r="I84" i="45"/>
  <c r="H83" i="45"/>
  <c r="I47" i="45" s="1"/>
  <c r="F44" i="45"/>
  <c r="F39" i="45" s="1"/>
  <c r="F30" i="45" s="1"/>
  <c r="F27" i="45" s="1"/>
  <c r="F24" i="45" s="1"/>
  <c r="F4" i="45" s="1"/>
  <c r="E44" i="45"/>
  <c r="E39" i="45" s="1"/>
  <c r="G30" i="45"/>
  <c r="G27" i="45" s="1"/>
  <c r="G24" i="45" s="1"/>
  <c r="H46" i="45"/>
  <c r="I87" i="45"/>
  <c r="H51" i="45"/>
  <c r="H50" i="45" s="1"/>
  <c r="H87" i="45"/>
  <c r="H56" i="45"/>
  <c r="H54" i="45" s="1"/>
  <c r="G116" i="44"/>
  <c r="F109" i="44" s="1"/>
  <c r="G102" i="44"/>
  <c r="G78" i="44"/>
  <c r="G62" i="44"/>
  <c r="G46" i="44"/>
  <c r="G116" i="43"/>
  <c r="G102" i="43"/>
  <c r="G78" i="43"/>
  <c r="G62" i="43"/>
  <c r="G46" i="43"/>
  <c r="G153" i="44"/>
  <c r="G140" i="44"/>
  <c r="G127" i="44"/>
  <c r="G113" i="44"/>
  <c r="G99" i="44"/>
  <c r="G74" i="44"/>
  <c r="G58" i="44"/>
  <c r="G42" i="44"/>
  <c r="G153" i="43"/>
  <c r="G140" i="43"/>
  <c r="G127" i="43"/>
  <c r="G113" i="43"/>
  <c r="G99" i="43"/>
  <c r="G74" i="43"/>
  <c r="G58" i="43"/>
  <c r="G42" i="43"/>
  <c r="C37" i="43"/>
  <c r="C172" i="44"/>
  <c r="C171" i="44"/>
  <c r="C156" i="44"/>
  <c r="G155" i="44"/>
  <c r="G154" i="44"/>
  <c r="L153" i="44"/>
  <c r="M153" i="44" s="1"/>
  <c r="G152" i="44"/>
  <c r="C143" i="44"/>
  <c r="G142" i="44"/>
  <c r="G141" i="44"/>
  <c r="L140" i="44"/>
  <c r="M140" i="44" s="1"/>
  <c r="G139" i="44"/>
  <c r="C130" i="44"/>
  <c r="G129" i="44"/>
  <c r="G128" i="44"/>
  <c r="L127" i="44"/>
  <c r="M127" i="44" s="1"/>
  <c r="G126" i="44"/>
  <c r="F123" i="44" s="1"/>
  <c r="G118" i="44"/>
  <c r="C117" i="44"/>
  <c r="G115" i="44"/>
  <c r="L113" i="44"/>
  <c r="M113" i="44" s="1"/>
  <c r="G112" i="44"/>
  <c r="G104" i="44"/>
  <c r="C103" i="44"/>
  <c r="G101" i="44"/>
  <c r="F95" i="44" s="1"/>
  <c r="L99" i="44"/>
  <c r="M99" i="44" s="1"/>
  <c r="G98" i="44"/>
  <c r="G85" i="44"/>
  <c r="G81" i="44"/>
  <c r="G75" i="44"/>
  <c r="G73" i="44"/>
  <c r="G71" i="44"/>
  <c r="G65" i="44"/>
  <c r="G59" i="44"/>
  <c r="G57" i="44"/>
  <c r="G55" i="44"/>
  <c r="E55" i="44"/>
  <c r="G49" i="44"/>
  <c r="G48" i="44"/>
  <c r="G44" i="44"/>
  <c r="G43" i="44"/>
  <c r="G41" i="44"/>
  <c r="E41" i="44"/>
  <c r="C40" i="44"/>
  <c r="G39" i="44"/>
  <c r="E38" i="44"/>
  <c r="E54" i="44" s="1"/>
  <c r="C37" i="44"/>
  <c r="C53" i="44" s="1"/>
  <c r="C69" i="44" s="1"/>
  <c r="C95" i="44" s="1"/>
  <c r="C109" i="44" s="1"/>
  <c r="C123" i="44" s="1"/>
  <c r="C136" i="44" s="1"/>
  <c r="C149" i="44" s="1"/>
  <c r="D33" i="44"/>
  <c r="E138" i="44" s="1"/>
  <c r="B33" i="44"/>
  <c r="E71" i="44" s="1"/>
  <c r="G28" i="44"/>
  <c r="E28" i="44"/>
  <c r="G27" i="44"/>
  <c r="G24" i="44"/>
  <c r="C24" i="44"/>
  <c r="G61" i="44" s="1"/>
  <c r="G22" i="44"/>
  <c r="G21" i="44"/>
  <c r="C19" i="44"/>
  <c r="G10" i="44"/>
  <c r="G8" i="44"/>
  <c r="F4" i="44"/>
  <c r="C4" i="44" s="1"/>
  <c r="D4" i="44"/>
  <c r="C53" i="43"/>
  <c r="C69" i="43" s="1"/>
  <c r="C95" i="43" s="1"/>
  <c r="C109" i="43" s="1"/>
  <c r="C123" i="43" s="1"/>
  <c r="C136" i="43" s="1"/>
  <c r="C149" i="43" s="1"/>
  <c r="C103" i="43"/>
  <c r="G48" i="43"/>
  <c r="L99" i="43"/>
  <c r="M99" i="43"/>
  <c r="L153" i="43"/>
  <c r="M153" i="43" s="1"/>
  <c r="L140" i="43"/>
  <c r="M140" i="43" s="1"/>
  <c r="L127" i="43"/>
  <c r="M127" i="43"/>
  <c r="L113" i="43"/>
  <c r="M113" i="43" s="1"/>
  <c r="R35" i="35"/>
  <c r="R36" i="35"/>
  <c r="R37" i="35"/>
  <c r="R38" i="35"/>
  <c r="R39" i="35"/>
  <c r="R5" i="35"/>
  <c r="R6" i="35"/>
  <c r="R7" i="35"/>
  <c r="R8" i="35"/>
  <c r="R9" i="35"/>
  <c r="R10" i="35"/>
  <c r="R11" i="35"/>
  <c r="R12" i="35"/>
  <c r="R13" i="35"/>
  <c r="R14" i="35"/>
  <c r="R15" i="35"/>
  <c r="R16" i="35"/>
  <c r="R17" i="35"/>
  <c r="R18" i="35"/>
  <c r="R19" i="35"/>
  <c r="R20" i="35"/>
  <c r="R21" i="35"/>
  <c r="R22" i="35"/>
  <c r="R23" i="35"/>
  <c r="R24" i="35"/>
  <c r="R25" i="35"/>
  <c r="R26" i="35"/>
  <c r="R27" i="35"/>
  <c r="R28" i="35"/>
  <c r="R29" i="35"/>
  <c r="R30" i="35"/>
  <c r="R31" i="35"/>
  <c r="R32" i="35"/>
  <c r="R33" i="35"/>
  <c r="R34" i="35"/>
  <c r="R4" i="35"/>
  <c r="C40" i="43"/>
  <c r="S9" i="34"/>
  <c r="S5" i="34" s="1"/>
  <c r="P5" i="34"/>
  <c r="P16" i="34"/>
  <c r="K46" i="34"/>
  <c r="K48" i="34"/>
  <c r="J48" i="34" s="1"/>
  <c r="K47" i="34"/>
  <c r="E48" i="34"/>
  <c r="D48" i="34" s="1"/>
  <c r="F47" i="34"/>
  <c r="E47" i="34"/>
  <c r="F46" i="34"/>
  <c r="E46" i="34"/>
  <c r="C156" i="43"/>
  <c r="G155" i="43"/>
  <c r="G154" i="43"/>
  <c r="G152" i="43"/>
  <c r="F149" i="43" s="1"/>
  <c r="C143" i="43"/>
  <c r="G142" i="43"/>
  <c r="G141" i="43"/>
  <c r="G139" i="43"/>
  <c r="C130" i="43"/>
  <c r="G129" i="43"/>
  <c r="G128" i="43"/>
  <c r="G126" i="43"/>
  <c r="G118" i="43"/>
  <c r="C117" i="43"/>
  <c r="G115" i="43"/>
  <c r="G112" i="43"/>
  <c r="E111" i="43"/>
  <c r="G104" i="43"/>
  <c r="G101" i="43"/>
  <c r="G98" i="43"/>
  <c r="E97" i="43"/>
  <c r="G85" i="43"/>
  <c r="G81" i="43"/>
  <c r="G75" i="43"/>
  <c r="G73" i="43"/>
  <c r="G65" i="43"/>
  <c r="G59" i="43"/>
  <c r="G57" i="43"/>
  <c r="G49" i="43"/>
  <c r="G44" i="43"/>
  <c r="G43" i="43"/>
  <c r="G41" i="43"/>
  <c r="E41" i="43"/>
  <c r="E38" i="43"/>
  <c r="E54" i="43" s="1"/>
  <c r="D33" i="43"/>
  <c r="E138" i="43" s="1"/>
  <c r="B33" i="43"/>
  <c r="E55" i="43" s="1"/>
  <c r="G28" i="43"/>
  <c r="E28" i="43"/>
  <c r="G27" i="43"/>
  <c r="G24" i="43"/>
  <c r="C24" i="43"/>
  <c r="E86" i="43" s="1"/>
  <c r="E85" i="43" s="1"/>
  <c r="G22" i="43"/>
  <c r="G21" i="43"/>
  <c r="C19" i="43"/>
  <c r="G10" i="43"/>
  <c r="G8" i="43"/>
  <c r="D4" i="43"/>
  <c r="L19" i="34"/>
  <c r="G19" i="34"/>
  <c r="K19" i="34" s="1"/>
  <c r="G7" i="34"/>
  <c r="G8" i="34"/>
  <c r="G9" i="34"/>
  <c r="G10" i="34"/>
  <c r="G11" i="34"/>
  <c r="G12" i="34"/>
  <c r="G13" i="34"/>
  <c r="G14" i="34"/>
  <c r="G15" i="34"/>
  <c r="G16" i="34"/>
  <c r="G17" i="34"/>
  <c r="G6" i="34"/>
  <c r="D7" i="45" l="1"/>
  <c r="K24" i="45"/>
  <c r="K5" i="45" s="1"/>
  <c r="C45" i="47"/>
  <c r="C48" i="47" s="1"/>
  <c r="C49" i="47" s="1"/>
  <c r="E96" i="47"/>
  <c r="E76" i="47"/>
  <c r="C76" i="47" s="1"/>
  <c r="D53" i="47"/>
  <c r="J48" i="45"/>
  <c r="J46" i="45" s="1"/>
  <c r="J37" i="45" s="1"/>
  <c r="H37" i="45"/>
  <c r="E125" i="43"/>
  <c r="E151" i="43"/>
  <c r="G4" i="45"/>
  <c r="G45" i="43"/>
  <c r="F37" i="43" s="1"/>
  <c r="F95" i="43"/>
  <c r="F4" i="43"/>
  <c r="F123" i="43"/>
  <c r="F136" i="43"/>
  <c r="F136" i="44"/>
  <c r="E39" i="44"/>
  <c r="F53" i="44"/>
  <c r="F149" i="44"/>
  <c r="F109" i="43"/>
  <c r="E39" i="43"/>
  <c r="C85" i="43"/>
  <c r="C79" i="43" s="1"/>
  <c r="G61" i="43"/>
  <c r="F53" i="43" s="1"/>
  <c r="E60" i="43" s="1"/>
  <c r="C60" i="43" s="1"/>
  <c r="R35" i="45"/>
  <c r="I32" i="45"/>
  <c r="Q35" i="45"/>
  <c r="Q33" i="45"/>
  <c r="F32" i="45"/>
  <c r="F37" i="45" s="1"/>
  <c r="E32" i="45"/>
  <c r="E37" i="45" s="1"/>
  <c r="G25" i="34"/>
  <c r="C28" i="34"/>
  <c r="M28" i="34" s="1"/>
  <c r="K25" i="34"/>
  <c r="L29" i="34"/>
  <c r="M29" i="34" s="1"/>
  <c r="C26" i="34"/>
  <c r="M26" i="34" s="1"/>
  <c r="J25" i="34"/>
  <c r="C27" i="34"/>
  <c r="M27" i="34" s="1"/>
  <c r="I46" i="45"/>
  <c r="I37" i="45" s="1"/>
  <c r="G32" i="45"/>
  <c r="G37" i="45" s="1"/>
  <c r="I82" i="45"/>
  <c r="I29" i="45" s="1"/>
  <c r="H32" i="45"/>
  <c r="E30" i="45"/>
  <c r="E27" i="45" s="1"/>
  <c r="E24" i="45" s="1"/>
  <c r="H39" i="45"/>
  <c r="H30" i="45" s="1"/>
  <c r="H82" i="45"/>
  <c r="E60" i="44"/>
  <c r="C60" i="44" s="1"/>
  <c r="E70" i="44"/>
  <c r="C169" i="44"/>
  <c r="G25" i="44"/>
  <c r="F17" i="44" s="1"/>
  <c r="E24" i="44" s="1"/>
  <c r="E86" i="44"/>
  <c r="E85" i="44" s="1"/>
  <c r="C85" i="44" s="1"/>
  <c r="G77" i="44"/>
  <c r="F69" i="44" s="1"/>
  <c r="E76" i="44" s="1"/>
  <c r="C76" i="44" s="1"/>
  <c r="G45" i="44"/>
  <c r="F37" i="44" s="1"/>
  <c r="E97" i="44"/>
  <c r="E111" i="44"/>
  <c r="E125" i="44"/>
  <c r="E151" i="44"/>
  <c r="D46" i="34"/>
  <c r="J47" i="34"/>
  <c r="K45" i="34"/>
  <c r="K44" i="34" s="1"/>
  <c r="D47" i="34"/>
  <c r="G5" i="34"/>
  <c r="F45" i="34"/>
  <c r="F44" i="34" s="1"/>
  <c r="J46" i="34"/>
  <c r="J45" i="34" s="1"/>
  <c r="J44" i="34" s="1"/>
  <c r="E45" i="34"/>
  <c r="E44" i="34" s="1"/>
  <c r="C4" i="43"/>
  <c r="C63" i="43"/>
  <c r="C47" i="43"/>
  <c r="C169" i="43"/>
  <c r="C181" i="43" s="1"/>
  <c r="C191" i="43" s="1"/>
  <c r="E71" i="43"/>
  <c r="G25" i="43"/>
  <c r="F17" i="43" s="1"/>
  <c r="E24" i="43" s="1"/>
  <c r="E70" i="43"/>
  <c r="G77" i="43"/>
  <c r="F69" i="43" s="1"/>
  <c r="P19" i="34"/>
  <c r="P18" i="34"/>
  <c r="S10" i="34"/>
  <c r="S4" i="34" s="1"/>
  <c r="P12" i="34"/>
  <c r="G25" i="1"/>
  <c r="P3" i="35"/>
  <c r="P13" i="35"/>
  <c r="P17" i="35"/>
  <c r="P21" i="35"/>
  <c r="P25" i="35"/>
  <c r="P29" i="35"/>
  <c r="P33" i="35"/>
  <c r="F20" i="1"/>
  <c r="E20" i="1" s="1"/>
  <c r="F4" i="35"/>
  <c r="P4" i="35" s="1"/>
  <c r="K5" i="35"/>
  <c r="K6" i="35"/>
  <c r="K7" i="35"/>
  <c r="K8" i="35"/>
  <c r="K9" i="35"/>
  <c r="K10" i="35"/>
  <c r="K11" i="35"/>
  <c r="K12" i="35"/>
  <c r="K13" i="35"/>
  <c r="K14" i="35"/>
  <c r="K15" i="35"/>
  <c r="K16" i="35"/>
  <c r="K17" i="35"/>
  <c r="K18" i="35"/>
  <c r="K19" i="35"/>
  <c r="K20" i="35"/>
  <c r="K21" i="35"/>
  <c r="K22" i="35"/>
  <c r="K23" i="35"/>
  <c r="K24" i="35"/>
  <c r="K25" i="35"/>
  <c r="K26" i="35"/>
  <c r="K27" i="35"/>
  <c r="K28" i="35"/>
  <c r="K29" i="35"/>
  <c r="K30" i="35"/>
  <c r="K31" i="35"/>
  <c r="K32" i="35"/>
  <c r="K33" i="35"/>
  <c r="K34" i="35"/>
  <c r="K35" i="35"/>
  <c r="K36" i="35"/>
  <c r="K37" i="35"/>
  <c r="K38" i="35"/>
  <c r="K39" i="35"/>
  <c r="K4" i="35"/>
  <c r="F39" i="35"/>
  <c r="F10" i="35"/>
  <c r="P10" i="35" s="1"/>
  <c r="F11" i="35"/>
  <c r="P11" i="35" s="1"/>
  <c r="F12" i="35"/>
  <c r="P12" i="35" s="1"/>
  <c r="F13" i="35"/>
  <c r="F14" i="35"/>
  <c r="P14" i="35" s="1"/>
  <c r="F15" i="35"/>
  <c r="P15" i="35" s="1"/>
  <c r="F16" i="35"/>
  <c r="P16" i="35" s="1"/>
  <c r="F17" i="35"/>
  <c r="F18" i="35"/>
  <c r="P18" i="35" s="1"/>
  <c r="F19" i="35"/>
  <c r="P19" i="35" s="1"/>
  <c r="F20" i="35"/>
  <c r="P20" i="35" s="1"/>
  <c r="F21" i="35"/>
  <c r="F22" i="35"/>
  <c r="P22" i="35" s="1"/>
  <c r="F23" i="35"/>
  <c r="P23" i="35" s="1"/>
  <c r="F24" i="35"/>
  <c r="P24" i="35" s="1"/>
  <c r="F25" i="35"/>
  <c r="F26" i="35"/>
  <c r="P26" i="35" s="1"/>
  <c r="F27" i="35"/>
  <c r="P27" i="35" s="1"/>
  <c r="F28" i="35"/>
  <c r="P28" i="35" s="1"/>
  <c r="F29" i="35"/>
  <c r="F30" i="35"/>
  <c r="P30" i="35" s="1"/>
  <c r="F31" i="35"/>
  <c r="P31" i="35" s="1"/>
  <c r="F32" i="35"/>
  <c r="P32" i="35" s="1"/>
  <c r="F33" i="35"/>
  <c r="F34" i="35"/>
  <c r="P34" i="35" s="1"/>
  <c r="F35" i="35"/>
  <c r="F36" i="35"/>
  <c r="F37" i="35"/>
  <c r="F38" i="35"/>
  <c r="F9" i="35"/>
  <c r="P9" i="35" s="1"/>
  <c r="F5" i="35"/>
  <c r="P5" i="35" s="1"/>
  <c r="F6" i="35"/>
  <c r="P6" i="35" s="1"/>
  <c r="F7" i="35"/>
  <c r="P7" i="35" s="1"/>
  <c r="F8" i="35"/>
  <c r="P8" i="35" s="1"/>
  <c r="E22" i="1"/>
  <c r="G23" i="1"/>
  <c r="E23" i="1" s="1"/>
  <c r="G21" i="1"/>
  <c r="E21" i="1" s="1"/>
  <c r="K7" i="34"/>
  <c r="L7" i="34"/>
  <c r="K8" i="34"/>
  <c r="L8" i="34"/>
  <c r="K9" i="34"/>
  <c r="L9" i="34"/>
  <c r="K10" i="34"/>
  <c r="L10" i="34"/>
  <c r="K11" i="34"/>
  <c r="L11" i="34"/>
  <c r="K12" i="34"/>
  <c r="L12" i="34"/>
  <c r="K13" i="34"/>
  <c r="L13" i="34"/>
  <c r="K14" i="34"/>
  <c r="L14" i="34"/>
  <c r="K15" i="34"/>
  <c r="L15" i="34"/>
  <c r="K16" i="34"/>
  <c r="L16" i="34"/>
  <c r="K17" i="34"/>
  <c r="K20" i="34" s="1"/>
  <c r="L17" i="34"/>
  <c r="L20" i="34" s="1"/>
  <c r="L6" i="34"/>
  <c r="K6" i="34"/>
  <c r="C17" i="34"/>
  <c r="C7" i="34"/>
  <c r="M7" i="34" s="1"/>
  <c r="C8" i="34"/>
  <c r="C9" i="34"/>
  <c r="C10" i="34"/>
  <c r="C11" i="34"/>
  <c r="M11" i="34" s="1"/>
  <c r="C12" i="34"/>
  <c r="C13" i="34"/>
  <c r="C14" i="34"/>
  <c r="C15" i="34"/>
  <c r="M15" i="34" s="1"/>
  <c r="C16" i="34"/>
  <c r="C6" i="34"/>
  <c r="M6" i="34" s="1"/>
  <c r="F5" i="34"/>
  <c r="E5" i="34"/>
  <c r="J5" i="34"/>
  <c r="I5" i="34"/>
  <c r="D5" i="34"/>
  <c r="I62" i="1"/>
  <c r="G62" i="1"/>
  <c r="J61" i="1"/>
  <c r="F61" i="1"/>
  <c r="G60" i="1"/>
  <c r="J60" i="1" s="1"/>
  <c r="J59" i="1"/>
  <c r="F59" i="1"/>
  <c r="J58" i="1"/>
  <c r="F58" i="1"/>
  <c r="J57" i="1"/>
  <c r="F57" i="1"/>
  <c r="K56" i="1"/>
  <c r="L56" i="1" s="1"/>
  <c r="I56" i="1"/>
  <c r="H56" i="1"/>
  <c r="J28" i="45" l="1"/>
  <c r="J27" i="45" s="1"/>
  <c r="J24" i="45" s="1"/>
  <c r="J4" i="45" s="1"/>
  <c r="E4" i="45"/>
  <c r="D4" i="45" s="1"/>
  <c r="C54" i="47"/>
  <c r="C61" i="47" s="1"/>
  <c r="G51" i="47" s="1"/>
  <c r="F67" i="47" s="1"/>
  <c r="G35" i="47"/>
  <c r="F51" i="47" s="1"/>
  <c r="H28" i="45"/>
  <c r="D69" i="47"/>
  <c r="E110" i="47"/>
  <c r="E101" i="47"/>
  <c r="C98" i="47" s="1"/>
  <c r="H29" i="45"/>
  <c r="E76" i="43"/>
  <c r="C76" i="43" s="1"/>
  <c r="D173" i="43"/>
  <c r="D174" i="43" s="1"/>
  <c r="C182" i="43"/>
  <c r="C192" i="43" s="1"/>
  <c r="C170" i="44"/>
  <c r="D173" i="44" s="1"/>
  <c r="D174" i="44" s="1"/>
  <c r="E44" i="44"/>
  <c r="C44" i="44" s="1"/>
  <c r="I28" i="45"/>
  <c r="I27" i="45" s="1"/>
  <c r="M13" i="34"/>
  <c r="M9" i="34"/>
  <c r="L25" i="34"/>
  <c r="M12" i="34"/>
  <c r="M25" i="34"/>
  <c r="M22" i="34" s="1"/>
  <c r="M16" i="34"/>
  <c r="M8" i="34"/>
  <c r="M14" i="34"/>
  <c r="M10" i="34"/>
  <c r="M17" i="34"/>
  <c r="D45" i="34"/>
  <c r="D44" i="34" s="1"/>
  <c r="C25" i="34"/>
  <c r="P10" i="34"/>
  <c r="F60" i="1"/>
  <c r="D17" i="44"/>
  <c r="C25" i="44"/>
  <c r="D37" i="44"/>
  <c r="C79" i="44"/>
  <c r="C47" i="44"/>
  <c r="C63" i="44"/>
  <c r="D69" i="44"/>
  <c r="E96" i="44"/>
  <c r="D53" i="44"/>
  <c r="J62" i="1"/>
  <c r="J56" i="1" s="1"/>
  <c r="G56" i="1"/>
  <c r="C25" i="43"/>
  <c r="D17" i="43"/>
  <c r="E96" i="43"/>
  <c r="E44" i="43"/>
  <c r="D53" i="43"/>
  <c r="K5" i="34"/>
  <c r="L5" i="34"/>
  <c r="C5" i="34"/>
  <c r="G8" i="35"/>
  <c r="M8" i="35" s="1"/>
  <c r="G5" i="35"/>
  <c r="M5" i="35" s="1"/>
  <c r="G9" i="35"/>
  <c r="M9" i="35" s="1"/>
  <c r="G4" i="35"/>
  <c r="M4" i="35" s="1"/>
  <c r="G7" i="35"/>
  <c r="M7" i="35" s="1"/>
  <c r="G37" i="35"/>
  <c r="M37" i="35" s="1"/>
  <c r="G33" i="35"/>
  <c r="M33" i="35" s="1"/>
  <c r="G29" i="35"/>
  <c r="M29" i="35" s="1"/>
  <c r="G25" i="35"/>
  <c r="M25" i="35" s="1"/>
  <c r="G21" i="35"/>
  <c r="M21" i="35" s="1"/>
  <c r="G17" i="35"/>
  <c r="M17" i="35" s="1"/>
  <c r="G13" i="35"/>
  <c r="M13" i="35" s="1"/>
  <c r="G36" i="35"/>
  <c r="M36" i="35" s="1"/>
  <c r="G32" i="35"/>
  <c r="M32" i="35" s="1"/>
  <c r="G28" i="35"/>
  <c r="M28" i="35" s="1"/>
  <c r="G24" i="35"/>
  <c r="M24" i="35" s="1"/>
  <c r="G20" i="35"/>
  <c r="M20" i="35" s="1"/>
  <c r="G16" i="35"/>
  <c r="M16" i="35" s="1"/>
  <c r="G12" i="35"/>
  <c r="M12" i="35" s="1"/>
  <c r="G39" i="35"/>
  <c r="M39" i="35" s="1"/>
  <c r="G35" i="35"/>
  <c r="M35" i="35" s="1"/>
  <c r="G31" i="35"/>
  <c r="M31" i="35" s="1"/>
  <c r="G27" i="35"/>
  <c r="M27" i="35" s="1"/>
  <c r="G23" i="35"/>
  <c r="M23" i="35" s="1"/>
  <c r="G19" i="35"/>
  <c r="M19" i="35" s="1"/>
  <c r="G15" i="35"/>
  <c r="M15" i="35" s="1"/>
  <c r="G11" i="35"/>
  <c r="M11" i="35" s="1"/>
  <c r="G38" i="35"/>
  <c r="M38" i="35" s="1"/>
  <c r="G34" i="35"/>
  <c r="M34" i="35" s="1"/>
  <c r="G30" i="35"/>
  <c r="M30" i="35" s="1"/>
  <c r="G26" i="35"/>
  <c r="M26" i="35" s="1"/>
  <c r="G22" i="35"/>
  <c r="M22" i="35" s="1"/>
  <c r="G18" i="35"/>
  <c r="M18" i="35" s="1"/>
  <c r="G14" i="35"/>
  <c r="M14" i="35" s="1"/>
  <c r="G10" i="35"/>
  <c r="M10" i="35" s="1"/>
  <c r="G6" i="35"/>
  <c r="M6" i="35" s="1"/>
  <c r="F62" i="1"/>
  <c r="F56" i="1" s="1"/>
  <c r="H27" i="45" l="1"/>
  <c r="C64" i="47"/>
  <c r="C65" i="47" s="1"/>
  <c r="D63" i="47"/>
  <c r="C70" i="47"/>
  <c r="C77" i="47" s="1"/>
  <c r="G67" i="47" s="1"/>
  <c r="F93" i="47" s="1"/>
  <c r="E124" i="47"/>
  <c r="E115" i="47"/>
  <c r="C112" i="47" s="1"/>
  <c r="D95" i="47"/>
  <c r="D69" i="43"/>
  <c r="I24" i="45"/>
  <c r="M5" i="34"/>
  <c r="M2" i="34" s="1"/>
  <c r="E110" i="44"/>
  <c r="E101" i="44"/>
  <c r="C98" i="44" s="1"/>
  <c r="E110" i="43"/>
  <c r="E101" i="43"/>
  <c r="C98" i="43" s="1"/>
  <c r="C44" i="43"/>
  <c r="D37" i="43"/>
  <c r="H24" i="45" l="1"/>
  <c r="D27" i="45"/>
  <c r="C80" i="47"/>
  <c r="C81" i="47" s="1"/>
  <c r="D79" i="47"/>
  <c r="C90" i="47"/>
  <c r="C96" i="47" s="1"/>
  <c r="C99" i="47" s="1"/>
  <c r="C100" i="47" s="1"/>
  <c r="D109" i="47"/>
  <c r="E137" i="47"/>
  <c r="E129" i="47"/>
  <c r="C125" i="47" s="1"/>
  <c r="I4" i="45"/>
  <c r="D95" i="44"/>
  <c r="E124" i="44"/>
  <c r="E115" i="44"/>
  <c r="C112" i="44" s="1"/>
  <c r="D95" i="43"/>
  <c r="E124" i="43"/>
  <c r="E115" i="43"/>
  <c r="C112" i="43" s="1"/>
  <c r="H4" i="45" l="1"/>
  <c r="C4" i="45" s="1"/>
  <c r="D24" i="45"/>
  <c r="N99" i="47"/>
  <c r="O99" i="47" s="1"/>
  <c r="C101" i="47"/>
  <c r="G93" i="47" s="1"/>
  <c r="D123" i="47"/>
  <c r="E150" i="47"/>
  <c r="C169" i="47" s="1"/>
  <c r="E142" i="47"/>
  <c r="C138" i="47" s="1"/>
  <c r="D109" i="44"/>
  <c r="E137" i="44"/>
  <c r="E129" i="44"/>
  <c r="C125" i="44" s="1"/>
  <c r="D109" i="43"/>
  <c r="E137" i="43"/>
  <c r="E129" i="43"/>
  <c r="C125" i="43" s="1"/>
  <c r="D45" i="47" l="1"/>
  <c r="D46" i="47" s="1"/>
  <c r="F107" i="47"/>
  <c r="C110" i="47"/>
  <c r="N113" i="47" s="1"/>
  <c r="O113" i="47" s="1"/>
  <c r="C104" i="47"/>
  <c r="C105" i="47" s="1"/>
  <c r="C181" i="47"/>
  <c r="C174" i="47"/>
  <c r="C168" i="47"/>
  <c r="D136" i="47"/>
  <c r="E155" i="47"/>
  <c r="C151" i="47" s="1"/>
  <c r="D123" i="44"/>
  <c r="E150" i="44"/>
  <c r="E142" i="44"/>
  <c r="C138" i="44" s="1"/>
  <c r="D123" i="43"/>
  <c r="E150" i="43"/>
  <c r="C168" i="43" s="1"/>
  <c r="C180" i="43" s="1"/>
  <c r="E142" i="43"/>
  <c r="C138" i="43" s="1"/>
  <c r="F14" i="1"/>
  <c r="E14" i="1" s="1"/>
  <c r="C20" i="44" s="1"/>
  <c r="C18" i="44" s="1"/>
  <c r="C26" i="44" s="1"/>
  <c r="C38" i="44" s="1"/>
  <c r="C45" i="44" s="1"/>
  <c r="C113" i="47" l="1"/>
  <c r="C114" i="47"/>
  <c r="C115" i="47" s="1"/>
  <c r="G107" i="47" s="1"/>
  <c r="D149" i="47"/>
  <c r="C191" i="47"/>
  <c r="C180" i="47"/>
  <c r="C187" i="47"/>
  <c r="C190" i="43"/>
  <c r="C186" i="43"/>
  <c r="C179" i="43"/>
  <c r="C54" i="44"/>
  <c r="C61" i="44" s="1"/>
  <c r="D136" i="44"/>
  <c r="E155" i="44"/>
  <c r="C151" i="44" s="1"/>
  <c r="C168" i="44"/>
  <c r="C20" i="43"/>
  <c r="C18" i="43" s="1"/>
  <c r="C26" i="43" s="1"/>
  <c r="C38" i="43" s="1"/>
  <c r="C45" i="43" s="1"/>
  <c r="D45" i="43" s="1"/>
  <c r="C173" i="43"/>
  <c r="C167" i="43"/>
  <c r="E155" i="43"/>
  <c r="C151" i="43" s="1"/>
  <c r="D136" i="43"/>
  <c r="I25" i="1"/>
  <c r="J24" i="1"/>
  <c r="J23" i="1"/>
  <c r="J22" i="1"/>
  <c r="J21" i="1"/>
  <c r="J20" i="1"/>
  <c r="K19" i="1"/>
  <c r="L19" i="1" s="1"/>
  <c r="I19" i="1"/>
  <c r="H19" i="1"/>
  <c r="G9" i="1"/>
  <c r="E9" i="1" s="1"/>
  <c r="E6" i="1"/>
  <c r="C118" i="47" l="1"/>
  <c r="C119" i="47" s="1"/>
  <c r="C124" i="47"/>
  <c r="N127" i="47" s="1"/>
  <c r="O127" i="47" s="1"/>
  <c r="F121" i="47"/>
  <c r="C196" i="47"/>
  <c r="C190" i="47"/>
  <c r="C126" i="47"/>
  <c r="C189" i="43"/>
  <c r="C195" i="43"/>
  <c r="D46" i="43"/>
  <c r="C70" i="44"/>
  <c r="C77" i="44" s="1"/>
  <c r="C90" i="44" s="1"/>
  <c r="C96" i="44" s="1"/>
  <c r="C99" i="44" s="1"/>
  <c r="C100" i="44" s="1"/>
  <c r="C101" i="44" s="1"/>
  <c r="C167" i="44"/>
  <c r="C173" i="44"/>
  <c r="D149" i="44"/>
  <c r="C54" i="43"/>
  <c r="C61" i="43" s="1"/>
  <c r="D149" i="43"/>
  <c r="J25" i="1"/>
  <c r="J19" i="1" s="1"/>
  <c r="G19" i="1"/>
  <c r="E19" i="1"/>
  <c r="G3" i="1"/>
  <c r="C128" i="47" l="1"/>
  <c r="D63" i="43"/>
  <c r="C64" i="43"/>
  <c r="N99" i="44"/>
  <c r="O99" i="44" s="1"/>
  <c r="C155" i="44"/>
  <c r="C163" i="44"/>
  <c r="C62" i="44"/>
  <c r="C64" i="44" s="1"/>
  <c r="C65" i="44" s="1"/>
  <c r="C46" i="44"/>
  <c r="C48" i="44" s="1"/>
  <c r="C49" i="44" s="1"/>
  <c r="C102" i="44"/>
  <c r="C104" i="44" s="1"/>
  <c r="C105" i="44" s="1"/>
  <c r="C78" i="44"/>
  <c r="F93" i="44" s="1"/>
  <c r="C110" i="44"/>
  <c r="G93" i="44"/>
  <c r="F107" i="44" s="1"/>
  <c r="C70" i="43"/>
  <c r="C77" i="43" s="1"/>
  <c r="C155" i="43"/>
  <c r="C163" i="43"/>
  <c r="F3" i="1"/>
  <c r="E3" i="1" s="1"/>
  <c r="C78" i="43"/>
  <c r="C62" i="43"/>
  <c r="C46" i="43"/>
  <c r="C48" i="43" s="1"/>
  <c r="C49" i="43" s="1"/>
  <c r="F19" i="1"/>
  <c r="C131" i="47" l="1"/>
  <c r="C132" i="47" s="1"/>
  <c r="G121" i="47"/>
  <c r="F134" i="47" s="1"/>
  <c r="C137" i="47"/>
  <c r="C139" i="47" s="1"/>
  <c r="C90" i="43"/>
  <c r="C96" i="43" s="1"/>
  <c r="N99" i="43" s="1"/>
  <c r="O99" i="43" s="1"/>
  <c r="D79" i="43"/>
  <c r="C65" i="43"/>
  <c r="F93" i="43"/>
  <c r="C80" i="44"/>
  <c r="C81" i="44" s="1"/>
  <c r="C129" i="44"/>
  <c r="C116" i="44"/>
  <c r="C142" i="44"/>
  <c r="C113" i="44"/>
  <c r="C114" i="44" s="1"/>
  <c r="C115" i="44" s="1"/>
  <c r="N113" i="44"/>
  <c r="O113" i="44" s="1"/>
  <c r="C80" i="43"/>
  <c r="C81" i="43" s="1"/>
  <c r="C142" i="43"/>
  <c r="C116" i="43"/>
  <c r="C129" i="43"/>
  <c r="E26" i="1"/>
  <c r="N140" i="47" l="1"/>
  <c r="O140" i="47" s="1"/>
  <c r="C141" i="47"/>
  <c r="G134" i="47" s="1"/>
  <c r="C99" i="43"/>
  <c r="C100" i="43" s="1"/>
  <c r="C101" i="43" s="1"/>
  <c r="G93" i="43" s="1"/>
  <c r="F107" i="43" s="1"/>
  <c r="C118" i="44"/>
  <c r="C119" i="44" s="1"/>
  <c r="C124" i="44"/>
  <c r="G107" i="44"/>
  <c r="F121" i="44" s="1"/>
  <c r="E58" i="1"/>
  <c r="E59" i="1"/>
  <c r="E60" i="1"/>
  <c r="E62" i="1"/>
  <c r="E61" i="1"/>
  <c r="F147" i="47" l="1"/>
  <c r="C150" i="47"/>
  <c r="N153" i="47" s="1"/>
  <c r="O153" i="47" s="1"/>
  <c r="C144" i="47"/>
  <c r="C145" i="47" s="1"/>
  <c r="C152" i="47"/>
  <c r="C110" i="43"/>
  <c r="N113" i="43" s="1"/>
  <c r="O113" i="43" s="1"/>
  <c r="C104" i="43"/>
  <c r="C105" i="43" s="1"/>
  <c r="C126" i="44"/>
  <c r="C127" i="44" s="1"/>
  <c r="C128" i="44" s="1"/>
  <c r="N127" i="44"/>
  <c r="O127" i="44" s="1"/>
  <c r="E56" i="1"/>
  <c r="C154" i="47" l="1"/>
  <c r="G147" i="47" s="1"/>
  <c r="C113" i="43"/>
  <c r="C114" i="43" s="1"/>
  <c r="C115" i="43" s="1"/>
  <c r="C124" i="43" s="1"/>
  <c r="N127" i="43" s="1"/>
  <c r="O127" i="43" s="1"/>
  <c r="G121" i="44"/>
  <c r="F134" i="44" s="1"/>
  <c r="C131" i="44"/>
  <c r="C132" i="44" s="1"/>
  <c r="C137" i="44"/>
  <c r="C164" i="47" l="1"/>
  <c r="C161" i="47" s="1"/>
  <c r="C162" i="47" s="1"/>
  <c r="C157" i="47"/>
  <c r="C158" i="47" s="1"/>
  <c r="G107" i="43"/>
  <c r="F121" i="43" s="1"/>
  <c r="C126" i="43"/>
  <c r="C127" i="43" s="1"/>
  <c r="C128" i="43" s="1"/>
  <c r="C131" i="43" s="1"/>
  <c r="C132" i="43" s="1"/>
  <c r="C118" i="43"/>
  <c r="C119" i="43" s="1"/>
  <c r="N140" i="44"/>
  <c r="O140" i="44" s="1"/>
  <c r="C139" i="44"/>
  <c r="C140" i="44" s="1"/>
  <c r="C141" i="44" s="1"/>
  <c r="G121" i="43" l="1"/>
  <c r="F134" i="43" s="1"/>
  <c r="C137" i="43"/>
  <c r="C150" i="44"/>
  <c r="G134" i="44"/>
  <c r="F147" i="44" s="1"/>
  <c r="C144" i="44"/>
  <c r="C145" i="44" s="1"/>
  <c r="C139" i="43" l="1"/>
  <c r="C140" i="43" s="1"/>
  <c r="C141" i="43" s="1"/>
  <c r="N140" i="43"/>
  <c r="O140" i="43" s="1"/>
  <c r="N153" i="44"/>
  <c r="O153" i="44" s="1"/>
  <c r="C152" i="44"/>
  <c r="C153" i="44" s="1"/>
  <c r="C154" i="44" s="1"/>
  <c r="C150" i="43" l="1"/>
  <c r="C144" i="43"/>
  <c r="C145" i="43" s="1"/>
  <c r="G134" i="43"/>
  <c r="F147" i="43" s="1"/>
  <c r="G147" i="44"/>
  <c r="C157" i="44"/>
  <c r="C158" i="44" s="1"/>
  <c r="C164" i="44"/>
  <c r="C152" i="43" l="1"/>
  <c r="C153" i="43" s="1"/>
  <c r="C154" i="43" s="1"/>
  <c r="N153" i="43"/>
  <c r="O153" i="43" s="1"/>
  <c r="C161" i="44"/>
  <c r="C162" i="44" s="1"/>
  <c r="G147" i="43" l="1"/>
  <c r="C164" i="43"/>
  <c r="C161" i="43" s="1"/>
  <c r="C162" i="43" s="1"/>
  <c r="C157" i="43"/>
  <c r="C158" i="43" s="1"/>
  <c r="P4" i="34"/>
  <c r="P3" i="34" s="1"/>
  <c r="P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G21" authorId="0" shapeId="0" xr:uid="{AE37F872-800F-4474-9A0E-0F1DBBC97B13}">
      <text>
        <r>
          <rPr>
            <b/>
            <sz val="9"/>
            <color indexed="81"/>
            <rFont val="돋움"/>
            <family val="3"/>
            <charset val="129"/>
          </rPr>
          <t>주보험료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95,100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x 20</t>
        </r>
        <r>
          <rPr>
            <b/>
            <sz val="9"/>
            <color indexed="81"/>
            <rFont val="돋움"/>
            <family val="3"/>
            <charset val="129"/>
          </rPr>
          <t>년
실손보험은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미포함</t>
        </r>
      </text>
    </comment>
    <comment ref="G23" authorId="0" shapeId="0" xr:uid="{C3D99D6A-93A2-46E4-8304-73382B9C7ECC}">
      <text>
        <r>
          <rPr>
            <b/>
            <sz val="9"/>
            <color indexed="81"/>
            <rFont val="돋움"/>
            <family val="3"/>
            <charset val="129"/>
          </rPr>
          <t>주보험료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304,150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x 10</t>
        </r>
        <r>
          <rPr>
            <b/>
            <sz val="9"/>
            <color indexed="81"/>
            <rFont val="돋움"/>
            <family val="3"/>
            <charset val="129"/>
          </rPr>
          <t>년
실손보험은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미포함</t>
        </r>
      </text>
    </comment>
    <comment ref="E25" authorId="0" shapeId="0" xr:uid="{1DF4D458-9B47-4D1F-945A-854285E9C352}">
      <text>
        <r>
          <rPr>
            <b/>
            <sz val="9"/>
            <color indexed="81"/>
            <rFont val="돋움"/>
            <family val="3"/>
            <charset val="129"/>
          </rPr>
          <t xml:space="preserve">확인필요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정확히모르는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</text>
    </comment>
    <comment ref="F25" authorId="0" shapeId="0" xr:uid="{790DB3C3-85C7-4C0B-8F43-537177257447}">
      <text>
        <r>
          <rPr>
            <b/>
            <sz val="9"/>
            <color indexed="81"/>
            <rFont val="돋움"/>
            <family val="3"/>
            <charset val="129"/>
          </rPr>
          <t xml:space="preserve">확인필요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정확히모르는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D30" authorId="0" shapeId="0" xr:uid="{DF89660F-63EB-42BE-BB21-ADBB67A95920}">
      <text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월사용분</t>
        </r>
      </text>
    </comment>
    <comment ref="D31" authorId="0" shapeId="0" xr:uid="{0D4D3E81-6654-4B9D-8B39-BB3E085C01DD}">
      <text>
        <r>
          <rPr>
            <b/>
            <sz val="9"/>
            <color indexed="81"/>
            <rFont val="돋움"/>
            <family val="3"/>
            <charset val="129"/>
          </rPr>
          <t>예상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I8" authorId="0" shapeId="0" xr:uid="{F2C84D25-74DF-49A3-A112-78C784CC1F54}">
      <text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월중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에어컨사용으로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증가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</text>
    </comment>
    <comment ref="K8" authorId="0" shapeId="0" xr:uid="{9A9C2F0C-209F-4259-A176-C504E51A8273}">
      <text>
        <r>
          <rPr>
            <b/>
            <sz val="9"/>
            <color indexed="81"/>
            <rFont val="돋움"/>
            <family val="3"/>
            <charset val="129"/>
          </rPr>
          <t>예상금액임</t>
        </r>
      </text>
    </comment>
    <comment ref="J12" authorId="0" shapeId="0" xr:uid="{33D84750-7BE1-472D-87FE-9C4BFC766882}">
      <text>
        <r>
          <rPr>
            <b/>
            <sz val="9"/>
            <color indexed="81"/>
            <rFont val="돋움"/>
            <family val="3"/>
            <charset val="129"/>
          </rPr>
          <t>엔진오일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145,000
</t>
        </r>
        <r>
          <rPr>
            <b/>
            <sz val="9"/>
            <color indexed="81"/>
            <rFont val="돋움"/>
            <family val="3"/>
            <charset val="129"/>
          </rPr>
          <t>에어컨필터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30,000
</t>
        </r>
        <r>
          <rPr>
            <b/>
            <sz val="9"/>
            <color indexed="81"/>
            <rFont val="돋움"/>
            <family val="3"/>
            <charset val="129"/>
          </rPr>
          <t>배터리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395,000
 - </t>
        </r>
        <r>
          <rPr>
            <b/>
            <sz val="9"/>
            <color indexed="81"/>
            <rFont val="돋움"/>
            <family val="3"/>
            <charset val="129"/>
          </rPr>
          <t>델코</t>
        </r>
        <r>
          <rPr>
            <b/>
            <sz val="9"/>
            <color indexed="81"/>
            <rFont val="Tahoma"/>
            <family val="2"/>
          </rPr>
          <t xml:space="preserve"> 105 (</t>
        </r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쏠라이트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K16" authorId="0" shapeId="0" xr:uid="{3BC2828C-6370-46DA-9A4C-ECAF6AF7A26D}">
      <text>
        <r>
          <rPr>
            <b/>
            <sz val="9"/>
            <color indexed="81"/>
            <rFont val="돋움"/>
            <family val="3"/>
            <charset val="129"/>
          </rPr>
          <t>경희모임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박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10/9-11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-</t>
        </r>
        <r>
          <rPr>
            <b/>
            <sz val="9"/>
            <color indexed="81"/>
            <rFont val="돋움"/>
            <family val="3"/>
            <charset val="129"/>
          </rPr>
          <t>회비</t>
        </r>
        <r>
          <rPr>
            <b/>
            <sz val="9"/>
            <color indexed="81"/>
            <rFont val="Tahoma"/>
            <family val="2"/>
          </rPr>
          <t xml:space="preserve"> 300,000
 -</t>
        </r>
        <r>
          <rPr>
            <b/>
            <sz val="9"/>
            <color indexed="81"/>
            <rFont val="돋움"/>
            <family val="3"/>
            <charset val="129"/>
          </rPr>
          <t>식사비</t>
        </r>
        <r>
          <rPr>
            <b/>
            <sz val="9"/>
            <color indexed="81"/>
            <rFont val="Tahoma"/>
            <family val="2"/>
          </rPr>
          <t xml:space="preserve"> 100,000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월말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결혼기념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여행계획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상해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지수네와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함께</t>
        </r>
        <r>
          <rPr>
            <b/>
            <sz val="9"/>
            <color indexed="81"/>
            <rFont val="Tahoma"/>
            <family val="2"/>
          </rPr>
          <t xml:space="preserve">
 - 1,400,000 : </t>
        </r>
        <r>
          <rPr>
            <b/>
            <sz val="9"/>
            <color indexed="81"/>
            <rFont val="돋움"/>
            <family val="3"/>
            <charset val="129"/>
          </rPr>
          <t>프리스티지석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항공권</t>
        </r>
      </text>
    </comment>
    <comment ref="E20" authorId="0" shapeId="0" xr:uid="{8B710F86-01B2-4043-9381-4DE8B0942A39}">
      <text>
        <r>
          <rPr>
            <b/>
            <sz val="9"/>
            <color indexed="81"/>
            <rFont val="돋움"/>
            <family val="3"/>
            <charset val="129"/>
          </rPr>
          <t>경희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친구자녀</t>
        </r>
        <r>
          <rPr>
            <b/>
            <sz val="9"/>
            <color indexed="81"/>
            <rFont val="Tahoma"/>
            <family val="2"/>
          </rPr>
          <t xml:space="preserve"> 100,000</t>
        </r>
      </text>
    </comment>
    <comment ref="F20" authorId="0" shapeId="0" xr:uid="{5FEE7B36-DBAE-4097-8C31-4C3D3CA2652A}">
      <text>
        <r>
          <rPr>
            <b/>
            <sz val="9"/>
            <color indexed="81"/>
            <rFont val="돋움"/>
            <family val="3"/>
            <charset val="129"/>
          </rPr>
          <t>경희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친구자녀</t>
        </r>
        <r>
          <rPr>
            <b/>
            <sz val="9"/>
            <color indexed="81"/>
            <rFont val="Tahoma"/>
            <family val="2"/>
          </rPr>
          <t xml:space="preserve"> 100,000</t>
        </r>
      </text>
    </comment>
    <comment ref="G20" authorId="0" shapeId="0" xr:uid="{04A3E225-69A6-4CFE-B8BF-329645DEA33A}">
      <text>
        <r>
          <rPr>
            <b/>
            <sz val="9"/>
            <color indexed="81"/>
            <rFont val="돋움"/>
            <family val="3"/>
            <charset val="129"/>
          </rPr>
          <t>성석훈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자녀결혼</t>
        </r>
        <r>
          <rPr>
            <b/>
            <sz val="9"/>
            <color indexed="81"/>
            <rFont val="Tahoma"/>
            <family val="2"/>
          </rPr>
          <t xml:space="preserve"> 200,000
</t>
        </r>
        <r>
          <rPr>
            <b/>
            <sz val="9"/>
            <color indexed="81"/>
            <rFont val="돋움"/>
            <family val="3"/>
            <charset val="129"/>
          </rPr>
          <t>경희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친구자녀결혼</t>
        </r>
        <r>
          <rPr>
            <b/>
            <sz val="9"/>
            <color indexed="81"/>
            <rFont val="Tahoma"/>
            <family val="2"/>
          </rPr>
          <t xml:space="preserve"> 100,000
</t>
        </r>
        <r>
          <rPr>
            <b/>
            <sz val="9"/>
            <color indexed="81"/>
            <rFont val="돋움"/>
            <family val="3"/>
            <charset val="129"/>
          </rPr>
          <t>보선생일</t>
        </r>
        <r>
          <rPr>
            <b/>
            <sz val="9"/>
            <color indexed="81"/>
            <rFont val="Tahoma"/>
            <family val="2"/>
          </rPr>
          <t xml:space="preserve"> 300,000 </t>
        </r>
      </text>
    </comment>
    <comment ref="H20" authorId="0" shapeId="0" xr:uid="{E7B89BB6-7DED-4271-846B-D3B1C3B07A6C}">
      <text>
        <r>
          <rPr>
            <b/>
            <sz val="9"/>
            <color indexed="81"/>
            <rFont val="돋움"/>
            <family val="3"/>
            <charset val="129"/>
          </rPr>
          <t>이동구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모친상</t>
        </r>
        <r>
          <rPr>
            <b/>
            <sz val="9"/>
            <color indexed="81"/>
            <rFont val="Tahoma"/>
            <family val="2"/>
          </rPr>
          <t xml:space="preserve"> 200,000</t>
        </r>
      </text>
    </comment>
    <comment ref="I20" authorId="0" shapeId="0" xr:uid="{31A1ADAD-97AC-4F04-8058-D966910550E7}">
      <text>
        <r>
          <rPr>
            <b/>
            <sz val="9"/>
            <color indexed="81"/>
            <rFont val="돋움"/>
            <family val="3"/>
            <charset val="129"/>
          </rPr>
          <t>한경셕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자녀결혼</t>
        </r>
        <r>
          <rPr>
            <b/>
            <sz val="9"/>
            <color indexed="81"/>
            <rFont val="Tahoma"/>
            <family val="2"/>
          </rPr>
          <t xml:space="preserve"> 200,000
- 8/28</t>
        </r>
        <r>
          <rPr>
            <b/>
            <sz val="9"/>
            <color indexed="81"/>
            <rFont val="돋움"/>
            <family val="3"/>
            <charset val="129"/>
          </rPr>
          <t>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송금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카톡으로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불참통보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축하인사</t>
        </r>
      </text>
    </comment>
    <comment ref="J20" authorId="0" shapeId="0" xr:uid="{3654ABD2-4501-4FC9-B0CF-2D75B5166F12}">
      <text>
        <r>
          <rPr>
            <b/>
            <sz val="9"/>
            <color indexed="81"/>
            <rFont val="돋움"/>
            <family val="3"/>
            <charset val="129"/>
          </rPr>
          <t>서연생일 1.000,000
태희생일 200,000</t>
        </r>
      </text>
    </comment>
    <comment ref="K20" authorId="0" shapeId="0" xr:uid="{96085F9D-4B61-48DA-A30F-7848FE9C086F}">
      <text>
        <r>
          <rPr>
            <b/>
            <sz val="9"/>
            <color indexed="81"/>
            <rFont val="돋움"/>
            <family val="3"/>
            <charset val="129"/>
          </rPr>
          <t>김종민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자녀결혼</t>
        </r>
        <r>
          <rPr>
            <b/>
            <sz val="9"/>
            <color indexed="81"/>
            <rFont val="Tahoma"/>
            <family val="2"/>
          </rPr>
          <t xml:space="preserve"> 200,000
</t>
        </r>
        <r>
          <rPr>
            <b/>
            <sz val="9"/>
            <color indexed="81"/>
            <rFont val="돋움"/>
            <family val="3"/>
            <charset val="129"/>
          </rPr>
          <t>경희친구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자녀결혼</t>
        </r>
        <r>
          <rPr>
            <b/>
            <sz val="9"/>
            <color indexed="81"/>
            <rFont val="Tahoma"/>
            <family val="2"/>
          </rPr>
          <t xml:space="preserve"> 200,000</t>
        </r>
      </text>
    </comment>
    <comment ref="M20" authorId="0" shapeId="0" xr:uid="{6ED772E4-7CDF-4D55-A2B8-BA2EA772959D}">
      <text>
        <r>
          <rPr>
            <b/>
            <sz val="9"/>
            <color indexed="81"/>
            <rFont val="돋움"/>
            <family val="3"/>
            <charset val="129"/>
          </rPr>
          <t>이민호 자녀결혼</t>
        </r>
      </text>
    </comment>
    <comment ref="E25" authorId="0" shapeId="0" xr:uid="{2F2D36CE-80AF-4962-9D99-63479C0A2C38}">
      <text>
        <r>
          <rPr>
            <b/>
            <sz val="9"/>
            <color indexed="81"/>
            <rFont val="돋움"/>
            <family val="3"/>
            <charset val="129"/>
          </rPr>
          <t>갑철기본</t>
        </r>
        <r>
          <rPr>
            <b/>
            <sz val="9"/>
            <color indexed="81"/>
            <rFont val="Tahoma"/>
            <family val="2"/>
          </rPr>
          <t xml:space="preserve"> 500,000
</t>
        </r>
        <r>
          <rPr>
            <b/>
            <sz val="9"/>
            <color indexed="81"/>
            <rFont val="돋움"/>
            <family val="3"/>
            <charset val="129"/>
          </rPr>
          <t>가용가능</t>
        </r>
        <r>
          <rPr>
            <b/>
            <sz val="9"/>
            <color indexed="81"/>
            <rFont val="Tahoma"/>
            <family val="2"/>
          </rPr>
          <t xml:space="preserve"> 1,000,000
</t>
        </r>
        <r>
          <rPr>
            <b/>
            <sz val="9"/>
            <color indexed="81"/>
            <rFont val="돋움"/>
            <family val="3"/>
            <charset val="129"/>
          </rPr>
          <t>타비용은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</text>
    </comment>
    <comment ref="F25" authorId="0" shapeId="0" xr:uid="{A4CE8781-8916-4C9B-863F-758F04F7EF8C}">
      <text>
        <r>
          <rPr>
            <b/>
            <sz val="9"/>
            <color indexed="81"/>
            <rFont val="돋움"/>
            <family val="3"/>
            <charset val="129"/>
          </rPr>
          <t>갑철기본</t>
        </r>
        <r>
          <rPr>
            <b/>
            <sz val="9"/>
            <color indexed="81"/>
            <rFont val="Tahoma"/>
            <family val="2"/>
          </rPr>
          <t xml:space="preserve"> 500,000
</t>
        </r>
        <r>
          <rPr>
            <b/>
            <sz val="9"/>
            <color indexed="81"/>
            <rFont val="돋움"/>
            <family val="3"/>
            <charset val="129"/>
          </rPr>
          <t>가용가능</t>
        </r>
        <r>
          <rPr>
            <b/>
            <sz val="9"/>
            <color indexed="81"/>
            <rFont val="Tahoma"/>
            <family val="2"/>
          </rPr>
          <t xml:space="preserve"> 1,000,000
</t>
        </r>
        <r>
          <rPr>
            <b/>
            <sz val="9"/>
            <color indexed="81"/>
            <rFont val="돋움"/>
            <family val="3"/>
            <charset val="129"/>
          </rPr>
          <t>타비용은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</text>
    </comment>
    <comment ref="G25" authorId="0" shapeId="0" xr:uid="{266F75D9-9DB4-4F1D-8CD1-5B48DA105315}">
      <text>
        <r>
          <rPr>
            <b/>
            <sz val="9"/>
            <color indexed="81"/>
            <rFont val="돋움"/>
            <family val="3"/>
            <charset val="129"/>
          </rPr>
          <t>갑철기본</t>
        </r>
        <r>
          <rPr>
            <b/>
            <sz val="9"/>
            <color indexed="81"/>
            <rFont val="Tahoma"/>
            <family val="2"/>
          </rPr>
          <t xml:space="preserve"> 500,000
</t>
        </r>
        <r>
          <rPr>
            <b/>
            <sz val="9"/>
            <color indexed="81"/>
            <rFont val="돋움"/>
            <family val="3"/>
            <charset val="129"/>
          </rPr>
          <t>가용가능</t>
        </r>
        <r>
          <rPr>
            <b/>
            <sz val="9"/>
            <color indexed="81"/>
            <rFont val="Tahoma"/>
            <family val="2"/>
          </rPr>
          <t xml:space="preserve"> 1,000,000
</t>
        </r>
        <r>
          <rPr>
            <b/>
            <sz val="9"/>
            <color indexed="81"/>
            <rFont val="돋움"/>
            <family val="3"/>
            <charset val="129"/>
          </rPr>
          <t>타비용은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</text>
    </comment>
    <comment ref="H25" authorId="0" shapeId="0" xr:uid="{A0439CA8-6268-4748-BDD4-5EEEA776C235}">
      <text>
        <r>
          <rPr>
            <b/>
            <sz val="9"/>
            <color indexed="81"/>
            <rFont val="돋움"/>
            <family val="3"/>
            <charset val="129"/>
          </rPr>
          <t>갑철기본</t>
        </r>
        <r>
          <rPr>
            <b/>
            <sz val="9"/>
            <color indexed="81"/>
            <rFont val="Tahoma"/>
            <family val="2"/>
          </rPr>
          <t xml:space="preserve"> 500,000
</t>
        </r>
        <r>
          <rPr>
            <b/>
            <sz val="9"/>
            <color indexed="81"/>
            <rFont val="돋움"/>
            <family val="3"/>
            <charset val="129"/>
          </rPr>
          <t>가용가능</t>
        </r>
        <r>
          <rPr>
            <b/>
            <sz val="9"/>
            <color indexed="81"/>
            <rFont val="Tahoma"/>
            <family val="2"/>
          </rPr>
          <t xml:space="preserve"> 1,000,000
</t>
        </r>
        <r>
          <rPr>
            <b/>
            <sz val="9"/>
            <color indexed="81"/>
            <rFont val="돋움"/>
            <family val="3"/>
            <charset val="129"/>
          </rPr>
          <t>타비용은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</text>
    </comment>
    <comment ref="I25" authorId="0" shapeId="0" xr:uid="{2FDC4ED3-50B6-4B54-BD59-B7EBF3924C3B}">
      <text>
        <r>
          <rPr>
            <b/>
            <sz val="9"/>
            <color indexed="81"/>
            <rFont val="돋움"/>
            <family val="3"/>
            <charset val="129"/>
          </rPr>
          <t>갑철기본</t>
        </r>
        <r>
          <rPr>
            <b/>
            <sz val="9"/>
            <color indexed="81"/>
            <rFont val="Tahoma"/>
            <family val="2"/>
          </rPr>
          <t xml:space="preserve"> 500,000
</t>
        </r>
        <r>
          <rPr>
            <b/>
            <sz val="9"/>
            <color indexed="81"/>
            <rFont val="돋움"/>
            <family val="3"/>
            <charset val="129"/>
          </rPr>
          <t>가용가능</t>
        </r>
        <r>
          <rPr>
            <b/>
            <sz val="9"/>
            <color indexed="81"/>
            <rFont val="Tahoma"/>
            <family val="2"/>
          </rPr>
          <t xml:space="preserve"> 1,000,000
</t>
        </r>
        <r>
          <rPr>
            <b/>
            <sz val="9"/>
            <color indexed="81"/>
            <rFont val="돋움"/>
            <family val="3"/>
            <charset val="129"/>
          </rPr>
          <t>타비용은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</text>
    </comment>
    <comment ref="J25" authorId="0" shapeId="0" xr:uid="{008DCA40-8EFD-49CF-B48D-544B96FF5F2E}">
      <text>
        <r>
          <rPr>
            <b/>
            <sz val="9"/>
            <color indexed="81"/>
            <rFont val="돋움"/>
            <family val="3"/>
            <charset val="129"/>
          </rPr>
          <t>갑철기본</t>
        </r>
        <r>
          <rPr>
            <b/>
            <sz val="9"/>
            <color indexed="81"/>
            <rFont val="Tahoma"/>
            <family val="2"/>
          </rPr>
          <t xml:space="preserve"> 500,000
</t>
        </r>
        <r>
          <rPr>
            <b/>
            <sz val="9"/>
            <color indexed="81"/>
            <rFont val="돋움"/>
            <family val="3"/>
            <charset val="129"/>
          </rPr>
          <t>가용가능</t>
        </r>
        <r>
          <rPr>
            <b/>
            <sz val="9"/>
            <color indexed="81"/>
            <rFont val="Tahoma"/>
            <family val="2"/>
          </rPr>
          <t xml:space="preserve"> 1,000,000
</t>
        </r>
        <r>
          <rPr>
            <b/>
            <sz val="9"/>
            <color indexed="81"/>
            <rFont val="돋움"/>
            <family val="3"/>
            <charset val="129"/>
          </rPr>
          <t>타비용은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</text>
    </comment>
    <comment ref="K25" authorId="0" shapeId="0" xr:uid="{A3DAB886-9332-45A9-8B06-C127E96A2B00}">
      <text>
        <r>
          <rPr>
            <b/>
            <sz val="9"/>
            <color indexed="81"/>
            <rFont val="돋움"/>
            <family val="3"/>
            <charset val="129"/>
          </rPr>
          <t>갑철기본</t>
        </r>
        <r>
          <rPr>
            <b/>
            <sz val="9"/>
            <color indexed="81"/>
            <rFont val="Tahoma"/>
            <family val="2"/>
          </rPr>
          <t xml:space="preserve"> 500,000
</t>
        </r>
        <r>
          <rPr>
            <b/>
            <sz val="9"/>
            <color indexed="81"/>
            <rFont val="돋움"/>
            <family val="3"/>
            <charset val="129"/>
          </rPr>
          <t>가용가능</t>
        </r>
        <r>
          <rPr>
            <b/>
            <sz val="9"/>
            <color indexed="81"/>
            <rFont val="Tahoma"/>
            <family val="2"/>
          </rPr>
          <t xml:space="preserve"> 1,000,000
</t>
        </r>
        <r>
          <rPr>
            <b/>
            <sz val="9"/>
            <color indexed="81"/>
            <rFont val="돋움"/>
            <family val="3"/>
            <charset val="129"/>
          </rPr>
          <t>타비용은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</text>
    </comment>
    <comment ref="M25" authorId="0" shapeId="0" xr:uid="{FEEA8F32-C4EF-473C-ACAF-448D05EFADDB}">
      <text>
        <r>
          <rPr>
            <b/>
            <sz val="9"/>
            <color indexed="81"/>
            <rFont val="돋움"/>
            <family val="3"/>
            <charset val="129"/>
          </rPr>
          <t>갑철기본</t>
        </r>
        <r>
          <rPr>
            <b/>
            <sz val="9"/>
            <color indexed="81"/>
            <rFont val="Tahoma"/>
            <family val="2"/>
          </rPr>
          <t xml:space="preserve"> 500,000
</t>
        </r>
        <r>
          <rPr>
            <b/>
            <sz val="9"/>
            <color indexed="81"/>
            <rFont val="돋움"/>
            <family val="3"/>
            <charset val="129"/>
          </rPr>
          <t>가용가능</t>
        </r>
        <r>
          <rPr>
            <b/>
            <sz val="9"/>
            <color indexed="81"/>
            <rFont val="Tahoma"/>
            <family val="2"/>
          </rPr>
          <t xml:space="preserve"> 1,000,000
</t>
        </r>
        <r>
          <rPr>
            <b/>
            <sz val="9"/>
            <color indexed="81"/>
            <rFont val="돋움"/>
            <family val="3"/>
            <charset val="129"/>
          </rPr>
          <t>타비용은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</text>
    </comment>
    <comment ref="E28" authorId="0" shapeId="0" xr:uid="{2B8C7909-EA2E-4943-A741-3FECF2B84B53}">
      <text>
        <r>
          <rPr>
            <b/>
            <sz val="9"/>
            <color indexed="81"/>
            <rFont val="돋움"/>
            <family val="3"/>
            <charset val="129"/>
          </rPr>
          <t>추정금액임</t>
        </r>
      </text>
    </comment>
    <comment ref="F28" authorId="0" shapeId="0" xr:uid="{92050C9F-0ED8-4DD6-9ABB-9EBBB67C3D9F}">
      <text>
        <r>
          <rPr>
            <b/>
            <sz val="9"/>
            <color indexed="81"/>
            <rFont val="돋움"/>
            <family val="3"/>
            <charset val="129"/>
          </rPr>
          <t>추정금액임</t>
        </r>
      </text>
    </comment>
    <comment ref="G28" authorId="0" shapeId="0" xr:uid="{A20E27C2-B1BA-4A2B-BCB1-7FD6F8AB6DDE}">
      <text>
        <r>
          <rPr>
            <b/>
            <sz val="9"/>
            <color indexed="81"/>
            <rFont val="돋움"/>
            <family val="3"/>
            <charset val="129"/>
          </rPr>
          <t>추정금액임</t>
        </r>
      </text>
    </comment>
    <comment ref="H28" authorId="0" shapeId="0" xr:uid="{E6AF0AD2-1817-4004-909E-B671B1A26269}">
      <text>
        <r>
          <rPr>
            <b/>
            <sz val="9"/>
            <color indexed="81"/>
            <rFont val="돋움"/>
            <family val="3"/>
            <charset val="129"/>
          </rPr>
          <t>집수리비용</t>
        </r>
        <r>
          <rPr>
            <b/>
            <sz val="9"/>
            <color indexed="81"/>
            <rFont val="Tahoma"/>
            <family val="2"/>
          </rPr>
          <t xml:space="preserve"> 600,000
</t>
        </r>
        <r>
          <rPr>
            <b/>
            <sz val="9"/>
            <color indexed="81"/>
            <rFont val="돋움"/>
            <family val="3"/>
            <charset val="129"/>
          </rPr>
          <t>경희부가수입</t>
        </r>
        <r>
          <rPr>
            <b/>
            <sz val="9"/>
            <color indexed="81"/>
            <rFont val="Tahoma"/>
            <family val="2"/>
          </rPr>
          <t xml:space="preserve"> 600,000</t>
        </r>
      </text>
    </comment>
    <comment ref="E33" authorId="0" shapeId="0" xr:uid="{15F30944-4E6F-4ADE-A4C0-F4FF6A37C00F}">
      <text>
        <r>
          <rPr>
            <b/>
            <sz val="9"/>
            <color indexed="81"/>
            <rFont val="돋움"/>
            <family val="3"/>
            <charset val="129"/>
          </rPr>
          <t>마사지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회분
생활비</t>
        </r>
        <r>
          <rPr>
            <b/>
            <sz val="9"/>
            <color indexed="81"/>
            <rFont val="Tahoma"/>
            <family val="2"/>
          </rPr>
          <t xml:space="preserve"> 20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F33" authorId="0" shapeId="0" xr:uid="{66493316-8401-4CCB-BF72-D88F5F59742B}">
      <text>
        <r>
          <rPr>
            <b/>
            <sz val="9"/>
            <color indexed="81"/>
            <rFont val="돋움"/>
            <family val="3"/>
            <charset val="129"/>
          </rPr>
          <t>마사지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회분
생활비</t>
        </r>
        <r>
          <rPr>
            <b/>
            <sz val="9"/>
            <color indexed="81"/>
            <rFont val="Tahoma"/>
            <family val="2"/>
          </rPr>
          <t xml:space="preserve"> 20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G33" authorId="0" shapeId="0" xr:uid="{97EDF2B5-EAB5-4EB0-8348-694D47E3F054}">
      <text>
        <r>
          <rPr>
            <b/>
            <sz val="9"/>
            <color indexed="81"/>
            <rFont val="돋움"/>
            <family val="3"/>
            <charset val="129"/>
          </rPr>
          <t>마사지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회분
생활비</t>
        </r>
        <r>
          <rPr>
            <b/>
            <sz val="9"/>
            <color indexed="81"/>
            <rFont val="Tahoma"/>
            <family val="2"/>
          </rPr>
          <t xml:space="preserve"> 20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H33" authorId="0" shapeId="0" xr:uid="{C5E2B49B-315D-46D9-9A7E-A90A44C2A8C0}">
      <text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마사지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회분
마사지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선납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>(9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회까지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생활비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선구입</t>
        </r>
        <r>
          <rPr>
            <b/>
            <sz val="9"/>
            <color indexed="81"/>
            <rFont val="Tahoma"/>
            <family val="2"/>
          </rPr>
          <t xml:space="preserve"> 70,000</t>
        </r>
      </text>
    </comment>
    <comment ref="I33" authorId="0" shapeId="0" xr:uid="{516E1BF4-31B5-4EA3-9B33-8972750E8005}">
      <text>
        <r>
          <rPr>
            <b/>
            <sz val="9"/>
            <color indexed="81"/>
            <rFont val="돋움"/>
            <family val="3"/>
            <charset val="129"/>
          </rPr>
          <t>마사지비용</t>
        </r>
        <r>
          <rPr>
            <b/>
            <sz val="9"/>
            <color indexed="81"/>
            <rFont val="Tahoma"/>
            <family val="2"/>
          </rPr>
          <t xml:space="preserve"> : 7</t>
        </r>
        <r>
          <rPr>
            <b/>
            <sz val="9"/>
            <color indexed="81"/>
            <rFont val="돋움"/>
            <family val="3"/>
            <charset val="129"/>
          </rPr>
          <t>월에</t>
        </r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돋움"/>
            <family val="3"/>
            <charset val="129"/>
          </rPr>
          <t>월분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선납</t>
        </r>
      </text>
    </comment>
    <comment ref="J33" authorId="0" shapeId="0" xr:uid="{DDB2CFB8-2200-46E3-8B40-42F63D65913A}">
      <text>
        <r>
          <rPr>
            <b/>
            <sz val="9"/>
            <color indexed="81"/>
            <rFont val="돋움"/>
            <family val="3"/>
            <charset val="129"/>
          </rPr>
          <t>마사지 3회
 - 1회 : 7월 선납분 사용</t>
        </r>
      </text>
    </comment>
    <comment ref="K33" authorId="0" shapeId="0" xr:uid="{C36A6CBF-8C78-49EF-B1C8-3E98770FFC19}">
      <text>
        <r>
          <rPr>
            <b/>
            <sz val="9"/>
            <color indexed="81"/>
            <rFont val="돋움"/>
            <family val="3"/>
            <charset val="129"/>
          </rPr>
          <t>마사지 4회</t>
        </r>
      </text>
    </comment>
    <comment ref="M33" authorId="0" shapeId="0" xr:uid="{D98BD55A-762F-4BF2-8A36-B0613EA52488}">
      <text>
        <r>
          <rPr>
            <b/>
            <sz val="9"/>
            <color indexed="81"/>
            <rFont val="돋움"/>
            <family val="3"/>
            <charset val="129"/>
          </rPr>
          <t>마사지 4회</t>
        </r>
      </text>
    </comment>
    <comment ref="E34" authorId="0" shapeId="0" xr:uid="{C561DF65-3B08-4246-9149-B01D5F1B627D}">
      <text>
        <r>
          <rPr>
            <b/>
            <sz val="9"/>
            <color indexed="81"/>
            <rFont val="돋움"/>
            <family val="3"/>
            <charset val="129"/>
          </rPr>
          <t>병원비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예상금액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실손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환급</t>
        </r>
        <r>
          <rPr>
            <b/>
            <sz val="9"/>
            <color indexed="81"/>
            <rFont val="Tahoma"/>
            <family val="2"/>
          </rPr>
          <t xml:space="preserve"> 80%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고려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통원일당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만원은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무조건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본인부담
</t>
        </r>
        <r>
          <rPr>
            <b/>
            <sz val="9"/>
            <color indexed="81"/>
            <rFont val="Tahoma"/>
            <family val="2"/>
          </rPr>
          <t>26.7-8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무릎주사치료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사례
</t>
        </r>
        <r>
          <rPr>
            <b/>
            <sz val="9"/>
            <color indexed="81"/>
            <rFont val="Tahoma"/>
            <family val="2"/>
          </rPr>
          <t xml:space="preserve"> - 7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통원치료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본인부담금</t>
        </r>
        <r>
          <rPr>
            <b/>
            <sz val="9"/>
            <color indexed="81"/>
            <rFont val="Tahoma"/>
            <family val="2"/>
          </rPr>
          <t xml:space="preserve"> 51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- 51</t>
        </r>
        <r>
          <rPr>
            <b/>
            <sz val="9"/>
            <color indexed="81"/>
            <rFont val="돋움"/>
            <family val="3"/>
            <charset val="129"/>
          </rPr>
          <t>만원중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통원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일분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 xml:space="preserve">만원제외
</t>
        </r>
        <r>
          <rPr>
            <b/>
            <sz val="9"/>
            <color indexed="81"/>
            <rFont val="Tahoma"/>
            <family val="2"/>
          </rPr>
          <t xml:space="preserve">    44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보상입금됨</t>
        </r>
        <r>
          <rPr>
            <b/>
            <sz val="9"/>
            <color indexed="81"/>
            <rFont val="Tahoma"/>
            <family val="2"/>
          </rPr>
          <t xml:space="preserve"> (86%)
 # </t>
        </r>
        <r>
          <rPr>
            <b/>
            <sz val="9"/>
            <color indexed="81"/>
            <rFont val="돋움"/>
            <family val="3"/>
            <charset val="129"/>
          </rPr>
          <t>비용에따라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다르지만</t>
        </r>
        <r>
          <rPr>
            <b/>
            <sz val="9"/>
            <color indexed="81"/>
            <rFont val="Tahoma"/>
            <family val="2"/>
          </rPr>
          <t xml:space="preserve"> 80%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F34" authorId="0" shapeId="0" xr:uid="{EE4AE0F4-6670-40C4-8D69-A6AEC0444555}">
      <text>
        <r>
          <rPr>
            <b/>
            <sz val="9"/>
            <color indexed="81"/>
            <rFont val="돋움"/>
            <family val="3"/>
            <charset val="129"/>
          </rPr>
          <t>병원비 예상금액
 - 실손 환급 80%로 고려
 - 통원일당 1만원은 무조건 본인부담
26.7-8월 무릎주사치료 사례
 - 7일 통원치료
 - 본인부담금 51만원
 - 51만원중 통원7일분 7만원제외
    44만원 보상입금됨 (86%)
 # 비용에따라 다르지만 80%으로 고려 가능</t>
        </r>
      </text>
    </comment>
    <comment ref="G34" authorId="0" shapeId="0" xr:uid="{95A34B01-B125-41E8-8925-1107A243B4F5}">
      <text>
        <r>
          <rPr>
            <b/>
            <sz val="9"/>
            <color indexed="81"/>
            <rFont val="돋움"/>
            <family val="3"/>
            <charset val="129"/>
          </rPr>
          <t>병원비 예상금액
 - 실손 환급 80%로 고려
 - 통원일당 1만원은 무조건 본인부담
26.7-8월 무릎주사치료 사례
 - 7일 통원치료
 - 본인부담금 51만원
 - 51만원중 통원7일분 7만원제외
    44만원 보상입금됨 (86%)
 # 비용에따라 다르지만 80%으로 고려 가능</t>
        </r>
      </text>
    </comment>
    <comment ref="H34" authorId="0" shapeId="0" xr:uid="{706FEAA1-4085-4C2A-AA97-C7BF9F05FDCE}">
      <text>
        <r>
          <rPr>
            <b/>
            <sz val="9"/>
            <color indexed="81"/>
            <rFont val="돋움"/>
            <family val="3"/>
            <charset val="129"/>
          </rPr>
          <t>병원비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예상금액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실손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환급</t>
        </r>
        <r>
          <rPr>
            <b/>
            <sz val="9"/>
            <color indexed="81"/>
            <rFont val="Tahoma"/>
            <family val="2"/>
          </rPr>
          <t xml:space="preserve"> 80%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고려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통원일당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만원은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무조건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본인부담
</t>
        </r>
        <r>
          <rPr>
            <b/>
            <sz val="9"/>
            <color indexed="81"/>
            <rFont val="Tahoma"/>
            <family val="2"/>
          </rPr>
          <t>26.7-8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무릎주사치료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사례
</t>
        </r>
        <r>
          <rPr>
            <b/>
            <sz val="9"/>
            <color indexed="81"/>
            <rFont val="Tahoma"/>
            <family val="2"/>
          </rPr>
          <t xml:space="preserve"> - 7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통원치료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본인부담금</t>
        </r>
        <r>
          <rPr>
            <b/>
            <sz val="9"/>
            <color indexed="81"/>
            <rFont val="Tahoma"/>
            <family val="2"/>
          </rPr>
          <t xml:space="preserve"> 51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- 51</t>
        </r>
        <r>
          <rPr>
            <b/>
            <sz val="9"/>
            <color indexed="81"/>
            <rFont val="돋움"/>
            <family val="3"/>
            <charset val="129"/>
          </rPr>
          <t>만원중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통원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일분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 xml:space="preserve">만원제외
</t>
        </r>
        <r>
          <rPr>
            <b/>
            <sz val="9"/>
            <color indexed="81"/>
            <rFont val="Tahoma"/>
            <family val="2"/>
          </rPr>
          <t xml:space="preserve">    44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보상입금됨</t>
        </r>
        <r>
          <rPr>
            <b/>
            <sz val="9"/>
            <color indexed="81"/>
            <rFont val="Tahoma"/>
            <family val="2"/>
          </rPr>
          <t xml:space="preserve"> (86%)
 # </t>
        </r>
        <r>
          <rPr>
            <b/>
            <sz val="9"/>
            <color indexed="81"/>
            <rFont val="돋움"/>
            <family val="3"/>
            <charset val="129"/>
          </rPr>
          <t>비용에따라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다르지만</t>
        </r>
        <r>
          <rPr>
            <b/>
            <sz val="9"/>
            <color indexed="81"/>
            <rFont val="Tahoma"/>
            <family val="2"/>
          </rPr>
          <t xml:space="preserve"> 80%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가능
</t>
        </r>
        <r>
          <rPr>
            <b/>
            <sz val="9"/>
            <color indexed="81"/>
            <rFont val="Tahoma"/>
            <family val="2"/>
          </rPr>
          <t xml:space="preserve">7/18 </t>
        </r>
        <r>
          <rPr>
            <b/>
            <sz val="9"/>
            <color indexed="81"/>
            <rFont val="돋움"/>
            <family val="3"/>
            <charset val="129"/>
          </rPr>
          <t>친구모임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식사비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I34" authorId="0" shapeId="0" xr:uid="{FFEE5377-43D1-4EB7-A99C-ADD990A42F4D}">
      <text>
        <r>
          <rPr>
            <b/>
            <sz val="9"/>
            <color indexed="81"/>
            <rFont val="돋움"/>
            <family val="3"/>
            <charset val="129"/>
          </rPr>
          <t>병원비 예상금액
 - 실손 환급 80%로 고려
 - 통원일당 1만원은 무조건 본인부담
26.7-8월 무릎주사치료 사례
 - 7일 통원치료
 - 본인부담금 51만원
 - 51만원중 통원7일분 7만원제외
    44만원 보상입금됨 (86%)
 # 비용에따라 다르지만 80%으로 고려 가능</t>
        </r>
      </text>
    </comment>
    <comment ref="J34" authorId="0" shapeId="0" xr:uid="{95BC59FB-D7F0-47A4-8E87-835C9AEEE26F}">
      <text>
        <r>
          <rPr>
            <b/>
            <sz val="9"/>
            <color indexed="81"/>
            <rFont val="돋움"/>
            <family val="3"/>
            <charset val="129"/>
          </rPr>
          <t>병원비 예상금액
 - 실손 환급 80%로 고려
 - 통원일당 1만원은 무조건 본인부담
26.7-8월 무릎주사치료 사례
 - 7일 통원치료
 - 본인부담금 51만원
 - 51만원중 통원7일분 7만원제외
    44만원 보상입금됨 (86%)
 # 비용에따라 다르지만 80%으로 고려 가능</t>
        </r>
      </text>
    </comment>
    <comment ref="K34" authorId="0" shapeId="0" xr:uid="{99ECCA2D-DCCE-4610-A4C5-FED29D56A5C2}">
      <text>
        <r>
          <rPr>
            <b/>
            <sz val="9"/>
            <color indexed="81"/>
            <rFont val="돋움"/>
            <family val="3"/>
            <charset val="129"/>
          </rPr>
          <t>병원비 예상금액
 - 실손 환급 80%로 고려
 - 통원일당 1만원은 무조건 본인부담
26.7-8월 무릎주사치료 사례
 - 7일 통원치료
 - 본인부담금 51만원
 - 51만원중 통원7일분 7만원제외
    44만원 보상입금됨 (86%)
 # 비용에따라 다르지만 80%으로 고려 가능</t>
        </r>
      </text>
    </comment>
    <comment ref="M34" authorId="0" shapeId="0" xr:uid="{C6E03F1F-51CB-4D6F-8AC9-FD908CA3E7CD}">
      <text>
        <r>
          <rPr>
            <b/>
            <sz val="9"/>
            <color indexed="81"/>
            <rFont val="돋움"/>
            <family val="3"/>
            <charset val="129"/>
          </rPr>
          <t>병원비 예상금액
 - 실손 환급 80%로 고려
 - 통원일당 1만원은 무조건 본인부담
26.7-8월 무릎주사치료 사례
 - 7일 통원치료
 - 본인부담금 51만원
 - 51만원중 통원7일분 7만원제외
    44만원 보상입금됨 (86%)
 # 비용에따라 다르지만 80%으로 고려 가능</t>
        </r>
      </text>
    </comment>
    <comment ref="O34" authorId="0" shapeId="0" xr:uid="{13113D33-534A-440D-AD4A-98ED38FBC50B}">
      <text>
        <r>
          <rPr>
            <b/>
            <sz val="9"/>
            <color indexed="81"/>
            <rFont val="돋움"/>
            <family val="3"/>
            <charset val="129"/>
          </rPr>
          <t>커피몰</t>
        </r>
        <r>
          <rPr>
            <b/>
            <sz val="9"/>
            <color indexed="81"/>
            <rFont val="Tahoma"/>
            <family val="2"/>
          </rPr>
          <t>_</t>
        </r>
        <r>
          <rPr>
            <b/>
            <sz val="9"/>
            <color indexed="81"/>
            <rFont val="돋움"/>
            <family val="3"/>
            <charset val="129"/>
          </rPr>
          <t>네이버</t>
        </r>
      </text>
    </comment>
    <comment ref="H35" authorId="0" shapeId="0" xr:uid="{664490BD-08ED-46C3-8CD4-7EF3E68125DE}">
      <text>
        <r>
          <rPr>
            <b/>
            <sz val="9"/>
            <color indexed="81"/>
            <rFont val="돋움"/>
            <family val="3"/>
            <charset val="129"/>
          </rPr>
          <t>명품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중고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상가</t>
        </r>
        <r>
          <rPr>
            <b/>
            <sz val="9"/>
            <color indexed="81"/>
            <rFont val="Tahoma"/>
            <family val="2"/>
          </rPr>
          <t>) 200,000</t>
        </r>
      </text>
    </comment>
    <comment ref="I35" authorId="0" shapeId="0" xr:uid="{9017B93C-07E3-4399-9949-D8D99EB2315C}">
      <text>
        <r>
          <rPr>
            <b/>
            <sz val="9"/>
            <color indexed="81"/>
            <rFont val="돋움"/>
            <family val="3"/>
            <charset val="129"/>
          </rPr>
          <t>콩국 60,000</t>
        </r>
      </text>
    </comment>
    <comment ref="O35" authorId="0" shapeId="0" xr:uid="{99FA0EC1-BF9B-4C91-8346-D46F1887F0C4}">
      <text>
        <r>
          <rPr>
            <b/>
            <sz val="9"/>
            <color indexed="81"/>
            <rFont val="돋움"/>
            <family val="3"/>
            <charset val="129"/>
          </rPr>
          <t>커피몰</t>
        </r>
        <r>
          <rPr>
            <b/>
            <sz val="9"/>
            <color indexed="81"/>
            <rFont val="Tahoma"/>
            <family val="2"/>
          </rPr>
          <t>_</t>
        </r>
        <r>
          <rPr>
            <b/>
            <sz val="9"/>
            <color indexed="81"/>
            <rFont val="돋움"/>
            <family val="3"/>
            <charset val="129"/>
          </rPr>
          <t>네이버</t>
        </r>
      </text>
    </comment>
    <comment ref="J40" authorId="0" shapeId="0" xr:uid="{D8D7B47F-E07D-4236-90CE-B30558F6A1C6}">
      <text>
        <r>
          <rPr>
            <b/>
            <sz val="9"/>
            <color indexed="81"/>
            <rFont val="Tahoma"/>
            <family val="2"/>
          </rPr>
          <t>9/21-30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10%
 - 100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한도</t>
        </r>
      </text>
    </comment>
    <comment ref="H41" authorId="0" shapeId="0" xr:uid="{5D94F78E-B25C-4E85-8CA4-193C3F2E4A4C}">
      <text>
        <r>
          <rPr>
            <b/>
            <sz val="9"/>
            <color indexed="81"/>
            <rFont val="Tahoma"/>
            <family val="2"/>
          </rPr>
          <t>&lt;</t>
        </r>
        <r>
          <rPr>
            <b/>
            <sz val="9"/>
            <color indexed="81"/>
            <rFont val="돋움"/>
            <family val="3"/>
            <charset val="129"/>
          </rPr>
          <t>경희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우체국보험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만기배당금</t>
        </r>
        <r>
          <rPr>
            <b/>
            <sz val="9"/>
            <color indexed="81"/>
            <rFont val="Tahoma"/>
            <family val="2"/>
          </rPr>
          <t>&gt;
26.6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납입만기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배당금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총납입</t>
        </r>
        <r>
          <rPr>
            <b/>
            <sz val="9"/>
            <color indexed="81"/>
            <rFont val="Tahoma"/>
            <family val="2"/>
          </rPr>
          <t xml:space="preserve"> 1,300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>80</t>
        </r>
        <r>
          <rPr>
            <b/>
            <sz val="9"/>
            <color indexed="81"/>
            <rFont val="돋움"/>
            <family val="3"/>
            <charset val="129"/>
          </rPr>
          <t>세까지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보장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일반사망</t>
        </r>
        <r>
          <rPr>
            <b/>
            <sz val="9"/>
            <color indexed="81"/>
            <rFont val="Tahoma"/>
            <family val="2"/>
          </rPr>
          <t xml:space="preserve"> : 2</t>
        </r>
        <r>
          <rPr>
            <b/>
            <sz val="9"/>
            <color indexed="81"/>
            <rFont val="돋움"/>
            <family val="3"/>
            <charset val="129"/>
          </rPr>
          <t xml:space="preserve">천만원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재해사망</t>
        </r>
        <r>
          <rPr>
            <b/>
            <sz val="9"/>
            <color indexed="81"/>
            <rFont val="Tahoma"/>
            <family val="2"/>
          </rPr>
          <t xml:space="preserve"> : 4</t>
        </r>
        <r>
          <rPr>
            <b/>
            <sz val="9"/>
            <color indexed="81"/>
            <rFont val="돋움"/>
            <family val="3"/>
            <charset val="129"/>
          </rPr>
          <t xml:space="preserve">천만원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질병사망</t>
        </r>
        <r>
          <rPr>
            <b/>
            <sz val="9"/>
            <color indexed="81"/>
            <rFont val="Tahoma"/>
            <family val="2"/>
          </rPr>
          <t xml:space="preserve"> : 6,000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중증질환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별도보장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심근경색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뇌경색</t>
        </r>
        <r>
          <rPr>
            <b/>
            <sz val="9"/>
            <color indexed="81"/>
            <rFont val="Tahoma"/>
            <family val="2"/>
          </rPr>
          <t>…)
80</t>
        </r>
        <r>
          <rPr>
            <b/>
            <sz val="9"/>
            <color indexed="81"/>
            <rFont val="돋움"/>
            <family val="3"/>
            <charset val="129"/>
          </rPr>
          <t>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보장만기후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환급금</t>
        </r>
        <r>
          <rPr>
            <b/>
            <sz val="9"/>
            <color indexed="81"/>
            <rFont val="Tahoma"/>
            <family val="2"/>
          </rPr>
          <t xml:space="preserve"> ???</t>
        </r>
      </text>
    </comment>
    <comment ref="J41" authorId="0" shapeId="0" xr:uid="{FC1DDCEA-968D-4B27-9227-6B2633062492}">
      <text>
        <r>
          <rPr>
            <b/>
            <sz val="9"/>
            <color indexed="81"/>
            <rFont val="Tahoma"/>
            <family val="2"/>
          </rPr>
          <t xml:space="preserve">9/22 </t>
        </r>
        <r>
          <rPr>
            <b/>
            <sz val="9"/>
            <color indexed="81"/>
            <rFont val="돋움"/>
            <family val="3"/>
            <charset val="129"/>
          </rPr>
          <t>진료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약제비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보험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약제비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최고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  : </t>
        </r>
        <r>
          <rPr>
            <b/>
            <sz val="9"/>
            <color indexed="81"/>
            <rFont val="돋움"/>
            <family val="3"/>
            <charset val="129"/>
          </rPr>
          <t>나눠서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조제해야함</t>
        </r>
      </text>
    </comment>
    <comment ref="H42" authorId="0" shapeId="0" xr:uid="{311DDB13-65DE-44C8-B1DB-936BC0BB6928}">
      <text>
        <r>
          <rPr>
            <b/>
            <sz val="9"/>
            <color indexed="81"/>
            <rFont val="돋움"/>
            <family val="3"/>
            <charset val="129"/>
          </rPr>
          <t>부가세환급</t>
        </r>
        <r>
          <rPr>
            <b/>
            <sz val="9"/>
            <color indexed="81"/>
            <rFont val="Tahoma"/>
            <family val="2"/>
          </rPr>
          <t xml:space="preserve"> 215,464
 - </t>
        </r>
        <r>
          <rPr>
            <b/>
            <sz val="9"/>
            <color indexed="81"/>
            <rFont val="돋움"/>
            <family val="3"/>
            <charset val="129"/>
          </rPr>
          <t>경희에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입금예정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세무법인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-55,000
 - </t>
        </r>
        <r>
          <rPr>
            <b/>
            <sz val="9"/>
            <color indexed="81"/>
            <rFont val="돋움"/>
            <family val="3"/>
            <charset val="129"/>
          </rPr>
          <t>갑철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사용금액에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G43" authorId="0" shapeId="0" xr:uid="{DC28FF0A-940F-47CF-A025-6A78955FA4DD}">
      <text>
        <r>
          <rPr>
            <b/>
            <sz val="9"/>
            <color indexed="81"/>
            <rFont val="돋움"/>
            <family val="3"/>
            <charset val="129"/>
          </rPr>
          <t>국민은행</t>
        </r>
        <r>
          <rPr>
            <b/>
            <sz val="9"/>
            <color indexed="81"/>
            <rFont val="Tahoma"/>
            <family val="2"/>
          </rPr>
          <t xml:space="preserve"> 30,000
 - </t>
        </r>
        <r>
          <rPr>
            <b/>
            <sz val="9"/>
            <color indexed="81"/>
            <rFont val="돋움"/>
            <family val="3"/>
            <charset val="129"/>
          </rPr>
          <t>국민연금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이벤트</t>
        </r>
      </text>
    </comment>
    <comment ref="I43" authorId="0" shapeId="0" xr:uid="{605ABD07-3C1B-4A8B-8265-091BBE2E0B1D}">
      <text>
        <r>
          <rPr>
            <b/>
            <sz val="9"/>
            <color indexed="81"/>
            <rFont val="돋움"/>
            <family val="3"/>
            <charset val="129"/>
          </rPr>
          <t>국민은행</t>
        </r>
        <r>
          <rPr>
            <b/>
            <sz val="9"/>
            <color indexed="81"/>
            <rFont val="Tahoma"/>
            <family val="2"/>
          </rPr>
          <t xml:space="preserve"> 20,000
 - </t>
        </r>
        <r>
          <rPr>
            <b/>
            <sz val="9"/>
            <color indexed="81"/>
            <rFont val="돋움"/>
            <family val="3"/>
            <charset val="129"/>
          </rPr>
          <t>국민연금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이벤트</t>
        </r>
      </text>
    </comment>
    <comment ref="J43" authorId="0" shapeId="0" xr:uid="{FC06BF47-8692-4C17-8686-C7B65EDC2E1F}">
      <text>
        <r>
          <rPr>
            <b/>
            <sz val="9"/>
            <color indexed="81"/>
            <rFont val="돋움"/>
            <family val="3"/>
            <charset val="129"/>
          </rPr>
          <t>어머님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조의금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잔여액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우리은행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계좌</t>
        </r>
      </text>
    </comment>
    <comment ref="E44" authorId="0" shapeId="0" xr:uid="{D3EB85FC-2665-40B6-909B-2A1895288B5B}">
      <text>
        <r>
          <rPr>
            <b/>
            <sz val="9"/>
            <color indexed="81"/>
            <rFont val="돋움"/>
            <family val="3"/>
            <charset val="129"/>
          </rPr>
          <t xml:space="preserve">경희생일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보선</t>
        </r>
        <r>
          <rPr>
            <b/>
            <sz val="9"/>
            <color indexed="81"/>
            <rFont val="Tahoma"/>
            <family val="2"/>
          </rPr>
          <t xml:space="preserve"> 200,000
 - </t>
        </r>
        <r>
          <rPr>
            <b/>
            <sz val="9"/>
            <color indexed="81"/>
            <rFont val="돋움"/>
            <family val="3"/>
            <charset val="129"/>
          </rPr>
          <t>지수</t>
        </r>
        <r>
          <rPr>
            <b/>
            <sz val="9"/>
            <color indexed="81"/>
            <rFont val="Tahoma"/>
            <family val="2"/>
          </rPr>
          <t xml:space="preserve"> 500,000</t>
        </r>
      </text>
    </comment>
    <comment ref="F44" authorId="0" shapeId="0" xr:uid="{3CCB9C67-7F3F-42BB-AC2D-A7DD43BAAF64}">
      <text>
        <r>
          <rPr>
            <b/>
            <sz val="9"/>
            <color indexed="81"/>
            <rFont val="돋움"/>
            <family val="3"/>
            <charset val="129"/>
          </rPr>
          <t xml:space="preserve">갑철생일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보선</t>
        </r>
        <r>
          <rPr>
            <b/>
            <sz val="9"/>
            <color indexed="81"/>
            <rFont val="Tahoma"/>
            <family val="2"/>
          </rPr>
          <t xml:space="preserve"> 600,000
 - </t>
        </r>
        <r>
          <rPr>
            <b/>
            <sz val="9"/>
            <color indexed="81"/>
            <rFont val="돋움"/>
            <family val="3"/>
            <charset val="129"/>
          </rPr>
          <t>지수</t>
        </r>
        <r>
          <rPr>
            <b/>
            <sz val="9"/>
            <color indexed="81"/>
            <rFont val="Tahoma"/>
            <family val="2"/>
          </rPr>
          <t xml:space="preserve"> 500,000</t>
        </r>
      </text>
    </comment>
    <comment ref="H44" authorId="0" shapeId="0" xr:uid="{BA68C18C-E091-458A-9C96-6FB8ED885A99}">
      <text>
        <r>
          <rPr>
            <b/>
            <sz val="9"/>
            <color indexed="81"/>
            <rFont val="돋움"/>
            <family val="3"/>
            <charset val="129"/>
          </rPr>
          <t>보선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휴가비</t>
        </r>
      </text>
    </comment>
    <comment ref="I44" authorId="0" shapeId="0" xr:uid="{CB68CFF3-D3D4-4D90-9FB1-C760F629C954}">
      <text>
        <r>
          <rPr>
            <b/>
            <sz val="9"/>
            <color indexed="81"/>
            <rFont val="돋움"/>
            <family val="3"/>
            <charset val="129"/>
          </rPr>
          <t>창순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다이소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상품권</t>
        </r>
        <r>
          <rPr>
            <b/>
            <sz val="9"/>
            <color indexed="81"/>
            <rFont val="Tahoma"/>
            <family val="2"/>
          </rPr>
          <t xml:space="preserve"> 30,000
</t>
        </r>
        <r>
          <rPr>
            <b/>
            <sz val="9"/>
            <color indexed="81"/>
            <rFont val="돋움"/>
            <family val="3"/>
            <charset val="129"/>
          </rPr>
          <t>보선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생활비</t>
        </r>
        <r>
          <rPr>
            <b/>
            <sz val="9"/>
            <color indexed="81"/>
            <rFont val="Tahoma"/>
            <family val="2"/>
          </rPr>
          <t xml:space="preserve"> +100,000 (</t>
        </r>
        <r>
          <rPr>
            <b/>
            <sz val="9"/>
            <color indexed="81"/>
            <rFont val="돋움"/>
            <family val="3"/>
            <charset val="129"/>
          </rPr>
          <t>에어컨사용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보선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이노락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구입해주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인터넷주문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44" authorId="0" shapeId="0" xr:uid="{B97A0457-BAB3-49CA-AAB2-BED9C5D32F34}">
      <text>
        <r>
          <rPr>
            <b/>
            <sz val="9"/>
            <color indexed="81"/>
            <rFont val="돋움"/>
            <family val="3"/>
            <charset val="129"/>
          </rPr>
          <t>보선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추석용돈</t>
        </r>
      </text>
    </comment>
    <comment ref="K44" authorId="0" shapeId="0" xr:uid="{75874FEA-5306-429D-A230-453DC979568B}">
      <text>
        <r>
          <rPr>
            <b/>
            <sz val="9"/>
            <color indexed="81"/>
            <rFont val="Tahoma"/>
            <family val="2"/>
          </rPr>
          <t xml:space="preserve">10/4 </t>
        </r>
        <r>
          <rPr>
            <b/>
            <sz val="9"/>
            <color indexed="81"/>
            <rFont val="돋움"/>
            <family val="3"/>
            <charset val="129"/>
          </rPr>
          <t>보선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안경맞춰줌</t>
        </r>
      </text>
    </comment>
    <comment ref="H47" authorId="0" shapeId="0" xr:uid="{67D646FD-7999-4778-AB19-56849AA790AD}">
      <text>
        <r>
          <rPr>
            <b/>
            <sz val="9"/>
            <color indexed="81"/>
            <rFont val="돋움"/>
            <family val="3"/>
            <charset val="129"/>
          </rPr>
          <t>담배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보루</t>
        </r>
      </text>
    </comment>
    <comment ref="I47" authorId="0" shapeId="0" xr:uid="{0CD1FA5B-320B-40F6-B9AB-63C6664E5354}">
      <text>
        <r>
          <rPr>
            <b/>
            <sz val="9"/>
            <color indexed="81"/>
            <rFont val="돋움"/>
            <family val="3"/>
            <charset val="129"/>
          </rPr>
          <t>담배</t>
        </r>
        <r>
          <rPr>
            <b/>
            <sz val="9"/>
            <color indexed="81"/>
            <rFont val="Tahoma"/>
            <family val="2"/>
          </rPr>
          <t xml:space="preserve"> 40</t>
        </r>
        <r>
          <rPr>
            <b/>
            <sz val="9"/>
            <color indexed="81"/>
            <rFont val="돋움"/>
            <family val="3"/>
            <charset val="129"/>
          </rPr>
          <t>갑
생활용품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J47" authorId="0" shapeId="0" xr:uid="{75D85E69-6C3F-49A9-B8CF-5240B316A938}">
      <text>
        <r>
          <rPr>
            <b/>
            <sz val="9"/>
            <color indexed="81"/>
            <rFont val="돋움"/>
            <family val="3"/>
            <charset val="129"/>
          </rPr>
          <t>담배</t>
        </r>
        <r>
          <rPr>
            <b/>
            <sz val="9"/>
            <color indexed="81"/>
            <rFont val="Tahoma"/>
            <family val="2"/>
          </rPr>
          <t xml:space="preserve"> 15</t>
        </r>
        <r>
          <rPr>
            <b/>
            <sz val="9"/>
            <color indexed="81"/>
            <rFont val="돋움"/>
            <family val="3"/>
            <charset val="129"/>
          </rPr>
          <t xml:space="preserve">갑
</t>
        </r>
      </text>
    </comment>
    <comment ref="H48" authorId="0" shapeId="0" xr:uid="{0D357B88-E324-4B90-A1F0-A6054D02CBD1}">
      <text>
        <r>
          <rPr>
            <b/>
            <sz val="9"/>
            <color indexed="81"/>
            <rFont val="Tahoma"/>
            <family val="2"/>
          </rPr>
          <t>6/30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주유비</t>
        </r>
      </text>
    </comment>
    <comment ref="I48" authorId="0" shapeId="0" xr:uid="{9557D040-D9D0-4BBB-8F16-3E287693F6D1}">
      <text>
        <r>
          <rPr>
            <b/>
            <sz val="9"/>
            <color indexed="81"/>
            <rFont val="돋움"/>
            <family val="3"/>
            <charset val="129"/>
          </rPr>
          <t>마사지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회분
생활용품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J48" authorId="0" shapeId="0" xr:uid="{E429DE6E-697B-441A-AC67-6310C84BAD41}">
      <text>
        <r>
          <rPr>
            <b/>
            <sz val="9"/>
            <color indexed="81"/>
            <rFont val="돋움"/>
            <family val="3"/>
            <charset val="129"/>
          </rPr>
          <t>생필품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선구입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만중</t>
        </r>
        <r>
          <rPr>
            <b/>
            <sz val="9"/>
            <color indexed="81"/>
            <rFont val="Tahoma"/>
            <family val="2"/>
          </rPr>
          <t xml:space="preserve"> 50%
</t>
        </r>
        <r>
          <rPr>
            <b/>
            <sz val="9"/>
            <color indexed="81"/>
            <rFont val="돋움"/>
            <family val="3"/>
            <charset val="129"/>
          </rPr>
          <t>마사지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(8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51" authorId="0" shapeId="0" xr:uid="{781AF05A-9BD4-4AB0-A352-A8B21AFA84F0}">
      <text>
        <r>
          <rPr>
            <b/>
            <sz val="9"/>
            <color indexed="81"/>
            <rFont val="돋움"/>
            <family val="3"/>
            <charset val="129"/>
          </rPr>
          <t>집수리용품</t>
        </r>
        <r>
          <rPr>
            <b/>
            <sz val="9"/>
            <color indexed="81"/>
            <rFont val="Tahoma"/>
            <family val="2"/>
          </rPr>
          <t xml:space="preserve"> 25,000 </t>
        </r>
        <r>
          <rPr>
            <b/>
            <sz val="9"/>
            <color indexed="81"/>
            <rFont val="돋움"/>
            <family val="3"/>
            <charset val="129"/>
          </rPr>
          <t>중복제외
캐시백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목적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추가구입비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51" authorId="0" shapeId="0" xr:uid="{237AF05C-0E15-4093-8B3C-6161E33DFB6E}">
      <text>
        <r>
          <rPr>
            <b/>
            <sz val="9"/>
            <color indexed="81"/>
            <rFont val="Tahoma"/>
            <family val="2"/>
          </rPr>
          <t xml:space="preserve">8/5 </t>
        </r>
        <r>
          <rPr>
            <b/>
            <sz val="9"/>
            <color indexed="81"/>
            <rFont val="돋움"/>
            <family val="3"/>
            <charset val="129"/>
          </rPr>
          <t>반찬그릇</t>
        </r>
        <r>
          <rPr>
            <b/>
            <sz val="9"/>
            <color indexed="81"/>
            <rFont val="Tahoma"/>
            <family val="2"/>
          </rPr>
          <t xml:space="preserve"> 9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구입</t>
        </r>
        <r>
          <rPr>
            <b/>
            <sz val="9"/>
            <color indexed="81"/>
            <rFont val="Tahoma"/>
            <family val="2"/>
          </rPr>
          <t xml:space="preserve"> : 33,000
8/10 </t>
        </r>
        <r>
          <rPr>
            <b/>
            <sz val="9"/>
            <color indexed="81"/>
            <rFont val="돋움"/>
            <family val="3"/>
            <charset val="129"/>
          </rPr>
          <t>이발</t>
        </r>
        <r>
          <rPr>
            <b/>
            <sz val="9"/>
            <color indexed="81"/>
            <rFont val="Tahoma"/>
            <family val="2"/>
          </rPr>
          <t xml:space="preserve"> 10,000</t>
        </r>
      </text>
    </comment>
    <comment ref="J51" authorId="0" shapeId="0" xr:uid="{B4DBB927-F96C-4EA9-96A1-9B9242D73A51}">
      <text>
        <r>
          <rPr>
            <b/>
            <sz val="9"/>
            <color indexed="81"/>
            <rFont val="Tahoma"/>
            <family val="2"/>
          </rPr>
          <t xml:space="preserve">9/20 </t>
        </r>
        <r>
          <rPr>
            <b/>
            <sz val="9"/>
            <color indexed="81"/>
            <rFont val="돋움"/>
            <family val="3"/>
            <charset val="129"/>
          </rPr>
          <t>주유</t>
        </r>
        <r>
          <rPr>
            <b/>
            <sz val="9"/>
            <color indexed="81"/>
            <rFont val="Tahoma"/>
            <family val="2"/>
          </rPr>
          <t xml:space="preserve"> 110,000
9/23 </t>
        </r>
        <r>
          <rPr>
            <b/>
            <sz val="9"/>
            <color indexed="81"/>
            <rFont val="돋움"/>
            <family val="3"/>
            <charset val="129"/>
          </rPr>
          <t>성용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전구입</t>
        </r>
        <r>
          <rPr>
            <b/>
            <sz val="9"/>
            <color indexed="81"/>
            <rFont val="Tahoma"/>
            <family val="2"/>
          </rPr>
          <t xml:space="preserve"> 95,000
924 </t>
        </r>
        <r>
          <rPr>
            <b/>
            <sz val="9"/>
            <color indexed="81"/>
            <rFont val="돋움"/>
            <family val="3"/>
            <charset val="129"/>
          </rPr>
          <t>모도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소라비빔밥</t>
        </r>
        <r>
          <rPr>
            <b/>
            <sz val="9"/>
            <color indexed="81"/>
            <rFont val="Tahoma"/>
            <family val="2"/>
          </rPr>
          <t xml:space="preserve"> 30,000
9/26 </t>
        </r>
        <r>
          <rPr>
            <b/>
            <sz val="9"/>
            <color indexed="81"/>
            <rFont val="돋움"/>
            <family val="3"/>
            <charset val="129"/>
          </rPr>
          <t>이광익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추상희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식사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장례식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조문답례
</t>
        </r>
        <r>
          <rPr>
            <b/>
            <sz val="9"/>
            <color indexed="81"/>
            <rFont val="Tahoma"/>
            <family val="2"/>
          </rPr>
          <t xml:space="preserve">9/29 </t>
        </r>
        <r>
          <rPr>
            <b/>
            <sz val="9"/>
            <color indexed="81"/>
            <rFont val="돋움"/>
            <family val="3"/>
            <charset val="129"/>
          </rPr>
          <t>심장내과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약구입
</t>
        </r>
        <r>
          <rPr>
            <b/>
            <sz val="9"/>
            <color indexed="81"/>
            <rFont val="Tahoma"/>
            <family val="2"/>
          </rPr>
          <t xml:space="preserve"> - 148,700 (</t>
        </r>
        <r>
          <rPr>
            <b/>
            <sz val="9"/>
            <color indexed="81"/>
            <rFont val="돋움"/>
            <family val="3"/>
            <charset val="129"/>
          </rPr>
          <t>캐시백</t>
        </r>
        <r>
          <rPr>
            <b/>
            <sz val="9"/>
            <color indexed="81"/>
            <rFont val="Tahoma"/>
            <family val="2"/>
          </rPr>
          <t xml:space="preserve"> 10%)</t>
        </r>
      </text>
    </comment>
    <comment ref="H55" authorId="0" shapeId="0" xr:uid="{0922DD20-A123-4A1E-802A-9DCF25B54814}">
      <text>
        <r>
          <rPr>
            <b/>
            <sz val="9"/>
            <color indexed="81"/>
            <rFont val="Tahoma"/>
            <family val="2"/>
          </rPr>
          <t xml:space="preserve">7/1 </t>
        </r>
        <r>
          <rPr>
            <b/>
            <sz val="9"/>
            <color indexed="81"/>
            <rFont val="돋움"/>
            <family val="3"/>
            <charset val="129"/>
          </rPr>
          <t>다이소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루원직영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I55" authorId="0" shapeId="0" xr:uid="{78D8B733-51F2-4B18-BA03-5394AAF492B7}">
      <text>
        <r>
          <rPr>
            <b/>
            <sz val="9"/>
            <color indexed="81"/>
            <rFont val="Tahoma"/>
            <family val="2"/>
          </rPr>
          <t xml:space="preserve">7/31 </t>
        </r>
        <r>
          <rPr>
            <b/>
            <sz val="9"/>
            <color indexed="81"/>
            <rFont val="돋움"/>
            <family val="3"/>
            <charset val="129"/>
          </rPr>
          <t>주유비</t>
        </r>
      </text>
    </comment>
    <comment ref="J55" authorId="0" shapeId="0" xr:uid="{C44844AD-7C07-4445-B219-44B7AF2DAA1F}">
      <text>
        <r>
          <rPr>
            <b/>
            <sz val="9"/>
            <color indexed="81"/>
            <rFont val="돋움"/>
            <family val="3"/>
            <charset val="129"/>
          </rPr>
          <t>부천성모병원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커피</t>
        </r>
      </text>
    </comment>
    <comment ref="K55" authorId="0" shapeId="0" xr:uid="{6D8B43F5-2005-4D41-B58F-FA92F626DEE2}">
      <text>
        <r>
          <rPr>
            <b/>
            <sz val="9"/>
            <color indexed="81"/>
            <rFont val="Tahoma"/>
            <family val="2"/>
          </rPr>
          <t xml:space="preserve">10/4 </t>
        </r>
        <r>
          <rPr>
            <b/>
            <sz val="9"/>
            <color indexed="81"/>
            <rFont val="돋움"/>
            <family val="3"/>
            <charset val="129"/>
          </rPr>
          <t>보선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안경맞춰줌</t>
        </r>
      </text>
    </comment>
    <comment ref="H56" authorId="0" shapeId="0" xr:uid="{60D219C5-3E87-4428-8F04-8293FEDB09A2}">
      <text>
        <r>
          <rPr>
            <b/>
            <sz val="9"/>
            <color indexed="81"/>
            <rFont val="Tahoma"/>
            <family val="2"/>
          </rPr>
          <t xml:space="preserve">7/18.19 </t>
        </r>
        <r>
          <rPr>
            <b/>
            <sz val="9"/>
            <color indexed="81"/>
            <rFont val="돋움"/>
            <family val="3"/>
            <charset val="129"/>
          </rPr>
          <t>경희고속</t>
        </r>
      </text>
    </comment>
    <comment ref="I56" authorId="0" shapeId="0" xr:uid="{F8C73445-4FE8-472B-94B3-E7D7695EA2E6}">
      <text>
        <r>
          <rPr>
            <b/>
            <sz val="9"/>
            <color indexed="81"/>
            <rFont val="돋움"/>
            <family val="3"/>
            <charset val="129"/>
          </rPr>
          <t>트레이더스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소불고기</t>
        </r>
      </text>
    </comment>
    <comment ref="J56" authorId="0" shapeId="0" xr:uid="{330B2258-9E3B-4918-97E3-80027EEC1B8E}">
      <text>
        <r>
          <rPr>
            <b/>
            <sz val="9"/>
            <color indexed="81"/>
            <rFont val="돋움"/>
            <family val="3"/>
            <charset val="129"/>
          </rPr>
          <t>담배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 xml:space="preserve">갑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세븐일레븐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이전으로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사주기</t>
        </r>
      </text>
    </comment>
    <comment ref="K56" authorId="0" shapeId="0" xr:uid="{F5C00306-CE3C-4827-9045-9CFA918E4F42}">
      <text>
        <r>
          <rPr>
            <b/>
            <sz val="9"/>
            <color indexed="81"/>
            <rFont val="Tahoma"/>
            <family val="2"/>
          </rPr>
          <t xml:space="preserve">10.5 </t>
        </r>
        <r>
          <rPr>
            <b/>
            <sz val="9"/>
            <color indexed="81"/>
            <rFont val="돋움"/>
            <family val="3"/>
            <charset val="129"/>
          </rPr>
          <t>티오피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더블랙</t>
        </r>
        <r>
          <rPr>
            <b/>
            <sz val="9"/>
            <color indexed="81"/>
            <rFont val="Tahoma"/>
            <family val="2"/>
          </rPr>
          <t xml:space="preserve"> 72</t>
        </r>
        <r>
          <rPr>
            <b/>
            <sz val="9"/>
            <color indexed="81"/>
            <rFont val="돋움"/>
            <family val="3"/>
            <charset val="129"/>
          </rPr>
          <t xml:space="preserve">캔
</t>
        </r>
        <r>
          <rPr>
            <b/>
            <sz val="9"/>
            <color indexed="81"/>
            <rFont val="Tahoma"/>
            <family val="2"/>
          </rPr>
          <t xml:space="preserve"> - 200ml
 - </t>
        </r>
        <r>
          <rPr>
            <b/>
            <sz val="9"/>
            <color indexed="81"/>
            <rFont val="돋움"/>
            <family val="3"/>
            <charset val="129"/>
          </rPr>
          <t>윤창</t>
        </r>
        <r>
          <rPr>
            <b/>
            <sz val="9"/>
            <color indexed="81"/>
            <rFont val="Tahoma"/>
            <family val="2"/>
          </rPr>
          <t xml:space="preserve"> 79</t>
        </r>
      </text>
    </comment>
    <comment ref="H57" authorId="0" shapeId="0" xr:uid="{D811E3D4-5B48-4BD4-9A68-ED329C0CD157}">
      <text>
        <r>
          <rPr>
            <b/>
            <sz val="9"/>
            <color indexed="81"/>
            <rFont val="Tahoma"/>
            <family val="2"/>
          </rPr>
          <t xml:space="preserve">7/21 </t>
        </r>
        <r>
          <rPr>
            <b/>
            <sz val="9"/>
            <color indexed="81"/>
            <rFont val="돋움"/>
            <family val="3"/>
            <charset val="129"/>
          </rPr>
          <t>들깨가루</t>
        </r>
      </text>
    </comment>
    <comment ref="I57" authorId="0" shapeId="0" xr:uid="{1107E6E2-558E-49ED-8913-5D31CC8A5A43}">
      <text>
        <r>
          <rPr>
            <b/>
            <sz val="9"/>
            <color indexed="81"/>
            <rFont val="Tahoma"/>
            <family val="2"/>
          </rPr>
          <t>TOP</t>
        </r>
        <r>
          <rPr>
            <b/>
            <sz val="9"/>
            <color indexed="81"/>
            <rFont val="돋움"/>
            <family val="3"/>
            <charset val="129"/>
          </rPr>
          <t>더블랙</t>
        </r>
        <r>
          <rPr>
            <b/>
            <sz val="9"/>
            <color indexed="81"/>
            <rFont val="Tahoma"/>
            <family val="2"/>
          </rPr>
          <t xml:space="preserve"> 72</t>
        </r>
        <r>
          <rPr>
            <b/>
            <sz val="9"/>
            <color indexed="81"/>
            <rFont val="돋움"/>
            <family val="3"/>
            <charset val="129"/>
          </rPr>
          <t>캔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커피몰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57" authorId="0" shapeId="0" xr:uid="{3742A470-3BF2-430E-97E8-F74F829EC275}">
      <text>
        <r>
          <rPr>
            <b/>
            <sz val="9"/>
            <color indexed="81"/>
            <rFont val="Tahoma"/>
            <family val="2"/>
          </rPr>
          <t xml:space="preserve">9/3 </t>
        </r>
        <r>
          <rPr>
            <b/>
            <sz val="9"/>
            <color indexed="81"/>
            <rFont val="돋움"/>
            <family val="3"/>
            <charset val="129"/>
          </rPr>
          <t>마눌님과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식사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어머님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면회후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손가면옥</t>
        </r>
      </text>
    </comment>
    <comment ref="H58" authorId="0" shapeId="0" xr:uid="{B789D656-63CD-49B6-BBA8-4E70F3867BDF}">
      <text>
        <r>
          <rPr>
            <b/>
            <sz val="9"/>
            <color indexed="81"/>
            <rFont val="Tahoma"/>
            <family val="2"/>
          </rPr>
          <t xml:space="preserve">7/24 </t>
        </r>
        <r>
          <rPr>
            <b/>
            <sz val="9"/>
            <color indexed="81"/>
            <rFont val="돋움"/>
            <family val="3"/>
            <charset val="129"/>
          </rPr>
          <t>트레이더스</t>
        </r>
      </text>
    </comment>
    <comment ref="I58" authorId="0" shapeId="0" xr:uid="{74D7CE1D-43A4-4307-99CC-692545E1BF18}">
      <text>
        <r>
          <rPr>
            <b/>
            <sz val="9"/>
            <color indexed="81"/>
            <rFont val="돋움"/>
            <family val="3"/>
            <charset val="129"/>
          </rPr>
          <t>다이소루원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참기름</t>
        </r>
        <r>
          <rPr>
            <b/>
            <sz val="9"/>
            <color indexed="81"/>
            <rFont val="Tahoma"/>
            <family val="2"/>
          </rPr>
          <t xml:space="preserve"> 6,000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다이소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사용
</t>
        </r>
        <r>
          <rPr>
            <b/>
            <sz val="9"/>
            <color indexed="81"/>
            <rFont val="Tahoma"/>
            <family val="2"/>
          </rPr>
          <t xml:space="preserve">   : 24,000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남음</t>
        </r>
      </text>
    </comment>
    <comment ref="J58" authorId="0" shapeId="0" xr:uid="{A96C00B4-51A9-435E-A600-EDF7DB4A4C3B}">
      <text>
        <r>
          <rPr>
            <b/>
            <sz val="9"/>
            <color indexed="81"/>
            <rFont val="Tahoma"/>
            <family val="2"/>
          </rPr>
          <t xml:space="preserve">9/5-6 </t>
        </r>
        <r>
          <rPr>
            <b/>
            <sz val="9"/>
            <color indexed="81"/>
            <rFont val="돋움"/>
            <family val="3"/>
            <charset val="129"/>
          </rPr>
          <t>장례식장에서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커피</t>
        </r>
      </text>
    </comment>
    <comment ref="H59" authorId="0" shapeId="0" xr:uid="{406E047B-B167-4834-9B20-96B25244CCAD}">
      <text>
        <r>
          <rPr>
            <b/>
            <sz val="9"/>
            <color indexed="81"/>
            <rFont val="Tahoma"/>
            <family val="2"/>
          </rPr>
          <t xml:space="preserve">7/29 </t>
        </r>
        <r>
          <rPr>
            <b/>
            <sz val="9"/>
            <color indexed="81"/>
            <rFont val="돋움"/>
            <family val="3"/>
            <charset val="129"/>
          </rPr>
          <t>예지김</t>
        </r>
      </text>
    </comment>
    <comment ref="I59" authorId="0" shapeId="0" xr:uid="{9D4AFC8C-E0AA-43F9-9CFD-F18F51824E1C}">
      <text>
        <r>
          <rPr>
            <b/>
            <sz val="9"/>
            <color indexed="81"/>
            <rFont val="돋움"/>
            <family val="3"/>
            <charset val="129"/>
          </rPr>
          <t>아노락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종셋트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구입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보선이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사줌</t>
        </r>
      </text>
    </comment>
    <comment ref="J59" authorId="0" shapeId="0" xr:uid="{9A8E3349-5D21-4511-A515-291955601EC5}">
      <text>
        <r>
          <rPr>
            <b/>
            <sz val="9"/>
            <color indexed="81"/>
            <rFont val="Tahoma"/>
            <family val="2"/>
          </rPr>
          <t xml:space="preserve">9/8 </t>
        </r>
        <r>
          <rPr>
            <b/>
            <sz val="9"/>
            <color indexed="81"/>
            <rFont val="돋움"/>
            <family val="3"/>
            <charset val="129"/>
          </rPr>
          <t>티오피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더블랙</t>
        </r>
        <r>
          <rPr>
            <b/>
            <sz val="9"/>
            <color indexed="81"/>
            <rFont val="Tahoma"/>
            <family val="2"/>
          </rPr>
          <t xml:space="preserve"> 72</t>
        </r>
        <r>
          <rPr>
            <b/>
            <sz val="9"/>
            <color indexed="81"/>
            <rFont val="돋움"/>
            <family val="3"/>
            <charset val="129"/>
          </rPr>
          <t xml:space="preserve">캔
</t>
        </r>
        <r>
          <rPr>
            <b/>
            <sz val="9"/>
            <color indexed="81"/>
            <rFont val="Tahoma"/>
            <family val="2"/>
          </rPr>
          <t xml:space="preserve"> - 200ml
 -</t>
        </r>
        <r>
          <rPr>
            <b/>
            <sz val="9"/>
            <color indexed="81"/>
            <rFont val="돋움"/>
            <family val="3"/>
            <charset val="129"/>
          </rPr>
          <t>커피몰</t>
        </r>
      </text>
    </comment>
    <comment ref="H60" authorId="0" shapeId="0" xr:uid="{9BACEF02-E529-4E42-99DF-96603B97D891}">
      <text>
        <r>
          <rPr>
            <b/>
            <sz val="9"/>
            <color indexed="81"/>
            <rFont val="돋움"/>
            <family val="3"/>
            <charset val="129"/>
          </rPr>
          <t>주차비</t>
        </r>
      </text>
    </comment>
    <comment ref="I60" authorId="0" shapeId="0" xr:uid="{725E6FB5-2EB3-4B41-A4A3-CE28DCDE4477}">
      <text>
        <r>
          <rPr>
            <b/>
            <sz val="9"/>
            <color indexed="81"/>
            <rFont val="Tahoma"/>
            <family val="2"/>
          </rPr>
          <t xml:space="preserve">8/8 </t>
        </r>
        <r>
          <rPr>
            <b/>
            <sz val="9"/>
            <color indexed="81"/>
            <rFont val="돋움"/>
            <family val="3"/>
            <charset val="129"/>
          </rPr>
          <t xml:space="preserve">트레이더스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중식</t>
        </r>
        <r>
          <rPr>
            <b/>
            <sz val="9"/>
            <color indexed="81"/>
            <rFont val="Tahoma"/>
            <family val="2"/>
          </rPr>
          <t xml:space="preserve"> 12,400
 </t>
        </r>
        <r>
          <rPr>
            <b/>
            <sz val="9"/>
            <color indexed="81"/>
            <rFont val="돋움"/>
            <family val="3"/>
            <charset val="129"/>
          </rPr>
          <t>소불고기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쌀</t>
        </r>
        <r>
          <rPr>
            <b/>
            <sz val="9"/>
            <color indexed="81"/>
            <rFont val="Tahoma"/>
            <family val="2"/>
          </rPr>
          <t>20kg/</t>
        </r>
        <r>
          <rPr>
            <b/>
            <sz val="9"/>
            <color indexed="81"/>
            <rFont val="돋움"/>
            <family val="3"/>
            <charset val="129"/>
          </rPr>
          <t>생바지락</t>
        </r>
        <r>
          <rPr>
            <b/>
            <sz val="9"/>
            <color indexed="81"/>
            <rFont val="Tahoma"/>
            <family val="2"/>
          </rPr>
          <t xml:space="preserve"> 113,820</t>
        </r>
      </text>
    </comment>
    <comment ref="J60" authorId="0" shapeId="0" xr:uid="{AB8C08FB-C6E4-4EDC-85F0-90E3C90FD140}">
      <text>
        <r>
          <rPr>
            <b/>
            <sz val="9"/>
            <color indexed="81"/>
            <rFont val="Tahoma"/>
            <family val="2"/>
          </rPr>
          <t xml:space="preserve">9/8 </t>
        </r>
        <r>
          <rPr>
            <b/>
            <sz val="9"/>
            <color indexed="81"/>
            <rFont val="돋움"/>
            <family val="3"/>
            <charset val="129"/>
          </rPr>
          <t>주유</t>
        </r>
      </text>
    </comment>
    <comment ref="I61" authorId="0" shapeId="0" xr:uid="{CB419C4C-3F26-4AA7-BCA4-3B29D13BE7E3}">
      <text>
        <r>
          <rPr>
            <b/>
            <sz val="9"/>
            <color indexed="81"/>
            <rFont val="돋움"/>
            <family val="3"/>
            <charset val="129"/>
          </rPr>
          <t>서사장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청라행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식사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쎄븐일레븐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영업팀장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미팅</t>
        </r>
      </text>
    </comment>
    <comment ref="J61" authorId="0" shapeId="0" xr:uid="{42462991-A913-4340-9DB1-60C5BB2FE3F9}">
      <text>
        <r>
          <rPr>
            <b/>
            <sz val="9"/>
            <color indexed="81"/>
            <rFont val="돋움"/>
            <family val="3"/>
            <charset val="129"/>
          </rPr>
          <t>삼우제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담배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물</t>
        </r>
      </text>
    </comment>
    <comment ref="I62" authorId="0" shapeId="0" xr:uid="{963F4384-716D-4CA4-8060-9DD17A7CD5DF}">
      <text>
        <r>
          <rPr>
            <b/>
            <sz val="9"/>
            <color indexed="81"/>
            <rFont val="돋움"/>
            <family val="3"/>
            <charset val="129"/>
          </rPr>
          <t>8/11 과속범칙금</t>
        </r>
      </text>
    </comment>
    <comment ref="J62" authorId="0" shapeId="0" xr:uid="{8281512A-FA76-4CB8-98BE-03E9F388AEA8}">
      <text>
        <r>
          <rPr>
            <b/>
            <sz val="9"/>
            <color indexed="81"/>
            <rFont val="Tahoma"/>
            <family val="2"/>
          </rPr>
          <t xml:space="preserve">9/11 </t>
        </r>
        <r>
          <rPr>
            <b/>
            <sz val="9"/>
            <color indexed="81"/>
            <rFont val="돋움"/>
            <family val="3"/>
            <charset val="129"/>
          </rPr>
          <t>테팔프라이팬셋트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구입
</t>
        </r>
        <r>
          <rPr>
            <b/>
            <sz val="9"/>
            <color indexed="81"/>
            <rFont val="Tahoma"/>
            <family val="2"/>
          </rPr>
          <t xml:space="preserve"> - 79,000</t>
        </r>
      </text>
    </comment>
    <comment ref="I63" authorId="0" shapeId="0" xr:uid="{E3415D38-ADAC-4CDB-BC39-AB528021E809}">
      <text>
        <r>
          <rPr>
            <b/>
            <sz val="9"/>
            <color indexed="81"/>
            <rFont val="돋움"/>
            <family val="3"/>
            <charset val="129"/>
          </rPr>
          <t>8/13 이정용 어육바 30,590</t>
        </r>
      </text>
    </comment>
    <comment ref="J63" authorId="0" shapeId="0" xr:uid="{011F51FE-C358-4860-B945-798905AB6913}">
      <text>
        <r>
          <rPr>
            <b/>
            <sz val="9"/>
            <color indexed="81"/>
            <rFont val="돋움"/>
            <family val="3"/>
            <charset val="129"/>
          </rPr>
          <t>이연복팔보채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구입</t>
        </r>
      </text>
    </comment>
    <comment ref="I64" authorId="0" shapeId="0" xr:uid="{4CAF6DBD-BD5A-495A-9153-0CA3A53BA9F3}">
      <text>
        <r>
          <rPr>
            <b/>
            <sz val="9"/>
            <color indexed="81"/>
            <rFont val="Tahoma"/>
            <family val="2"/>
          </rPr>
          <t xml:space="preserve">8/14 </t>
        </r>
        <r>
          <rPr>
            <b/>
            <sz val="9"/>
            <color indexed="81"/>
            <rFont val="돋움"/>
            <family val="3"/>
            <charset val="129"/>
          </rPr>
          <t>서연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영종도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마시안제면소</t>
        </r>
        <r>
          <rPr>
            <b/>
            <sz val="9"/>
            <color indexed="81"/>
            <rFont val="Tahoma"/>
            <family val="2"/>
          </rPr>
          <t xml:space="preserve"> 47,000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빵판다</t>
        </r>
        <r>
          <rPr>
            <b/>
            <sz val="9"/>
            <color indexed="81"/>
            <rFont val="Tahoma"/>
            <family val="2"/>
          </rPr>
          <t xml:space="preserve"> 30,300
 # </t>
        </r>
        <r>
          <rPr>
            <b/>
            <sz val="9"/>
            <color indexed="81"/>
            <rFont val="돋움"/>
            <family val="3"/>
            <charset val="129"/>
          </rPr>
          <t>여름방학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여행</t>
        </r>
        <r>
          <rPr>
            <b/>
            <sz val="9"/>
            <color indexed="81"/>
            <rFont val="Tahoma"/>
            <family val="2"/>
          </rPr>
          <t xml:space="preserve"> 8/18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개학</t>
        </r>
      </text>
    </comment>
    <comment ref="J64" authorId="0" shapeId="0" xr:uid="{F643D318-8600-415A-80C3-5B53B14AA7DE}">
      <text>
        <r>
          <rPr>
            <b/>
            <sz val="9"/>
            <color indexed="81"/>
            <rFont val="돋움"/>
            <family val="3"/>
            <charset val="129"/>
          </rPr>
          <t>가족식사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집에서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</text>
    </comment>
    <comment ref="I65" authorId="0" shapeId="0" xr:uid="{EF003D0F-C72E-4BDF-9618-8782208E733F}">
      <text>
        <r>
          <rPr>
            <b/>
            <sz val="9"/>
            <color indexed="81"/>
            <rFont val="Tahoma"/>
            <family val="2"/>
          </rPr>
          <t xml:space="preserve">8/14 </t>
        </r>
        <r>
          <rPr>
            <b/>
            <sz val="9"/>
            <color indexed="81"/>
            <rFont val="돋움"/>
            <family val="3"/>
            <charset val="129"/>
          </rPr>
          <t>주유비</t>
        </r>
      </text>
    </comment>
    <comment ref="J65" authorId="0" shapeId="0" xr:uid="{72878D1D-23CC-4A46-87F2-64847B264B3B}">
      <text>
        <r>
          <rPr>
            <b/>
            <sz val="9"/>
            <color indexed="81"/>
            <rFont val="돋움"/>
            <family val="3"/>
            <charset val="129"/>
          </rPr>
          <t>마눌님식사</t>
        </r>
        <r>
          <rPr>
            <b/>
            <sz val="9"/>
            <color indexed="81"/>
            <rFont val="Tahoma"/>
            <family val="2"/>
          </rPr>
          <t xml:space="preserve"> 28,000
- </t>
        </r>
        <r>
          <rPr>
            <b/>
            <sz val="9"/>
            <color indexed="81"/>
            <rFont val="돋움"/>
            <family val="3"/>
            <charset val="129"/>
          </rPr>
          <t>청실홍실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청라</t>
        </r>
      </text>
    </comment>
    <comment ref="I66" authorId="0" shapeId="0" xr:uid="{90A6588B-E6B7-4164-A8D0-3C2B3466C6CD}">
      <text>
        <r>
          <rPr>
            <b/>
            <sz val="9"/>
            <color indexed="81"/>
            <rFont val="Tahoma"/>
            <family val="2"/>
          </rPr>
          <t xml:space="preserve">8/14 </t>
        </r>
        <r>
          <rPr>
            <b/>
            <sz val="9"/>
            <color indexed="81"/>
            <rFont val="돋움"/>
            <family val="3"/>
            <charset val="129"/>
          </rPr>
          <t>아버님기일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준비</t>
        </r>
      </text>
    </comment>
    <comment ref="J66" authorId="0" shapeId="0" xr:uid="{D8C37D75-CBEA-409A-B088-8A1182A5C611}">
      <text>
        <r>
          <rPr>
            <b/>
            <sz val="9"/>
            <color indexed="81"/>
            <rFont val="돋움"/>
            <family val="3"/>
            <charset val="129"/>
          </rPr>
          <t>경희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여권발급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</text>
    </comment>
    <comment ref="I67" authorId="0" shapeId="0" xr:uid="{4ABAD20C-3807-4FDF-B13F-25E4C3A397CC}">
      <text>
        <r>
          <rPr>
            <b/>
            <sz val="9"/>
            <color indexed="81"/>
            <rFont val="돋움"/>
            <family val="3"/>
            <charset val="129"/>
          </rPr>
          <t>열무물김치 구입</t>
        </r>
      </text>
    </comment>
    <comment ref="J67" authorId="0" shapeId="0" xr:uid="{1FCF6793-D95F-4211-B7B2-6A32D2546D7E}">
      <text>
        <r>
          <rPr>
            <b/>
            <sz val="9"/>
            <color indexed="81"/>
            <rFont val="돋움"/>
            <family val="3"/>
            <charset val="129"/>
          </rPr>
          <t>경희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면허갱신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</text>
    </comment>
    <comment ref="I68" authorId="0" shapeId="0" xr:uid="{26FEF559-88C1-4DD4-97CC-9BC2649CB37C}">
      <text>
        <r>
          <rPr>
            <b/>
            <sz val="9"/>
            <color indexed="81"/>
            <rFont val="돋움"/>
            <family val="3"/>
            <charset val="129"/>
          </rPr>
          <t xml:space="preserve">대학모임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당구</t>
        </r>
        <r>
          <rPr>
            <b/>
            <sz val="9"/>
            <color indexed="81"/>
            <rFont val="Tahoma"/>
            <family val="2"/>
          </rPr>
          <t xml:space="preserve"> 17,000
 - </t>
        </r>
        <r>
          <rPr>
            <b/>
            <sz val="9"/>
            <color indexed="81"/>
            <rFont val="돋움"/>
            <family val="3"/>
            <charset val="129"/>
          </rPr>
          <t>노래방</t>
        </r>
        <r>
          <rPr>
            <b/>
            <sz val="9"/>
            <color indexed="81"/>
            <rFont val="Tahoma"/>
            <family val="2"/>
          </rPr>
          <t xml:space="preserve"> 130,000</t>
        </r>
      </text>
    </comment>
    <comment ref="J68" authorId="0" shapeId="0" xr:uid="{52C8FCCE-0E48-4D3C-A712-B1E3FD64BF7E}">
      <text>
        <r>
          <rPr>
            <b/>
            <sz val="9"/>
            <color indexed="81"/>
            <rFont val="Tahoma"/>
            <family val="2"/>
          </rPr>
          <t xml:space="preserve">chat GPT </t>
        </r>
        <r>
          <rPr>
            <b/>
            <sz val="9"/>
            <color indexed="81"/>
            <rFont val="돋움"/>
            <family val="3"/>
            <charset val="129"/>
          </rPr>
          <t>한달분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</t>
        </r>
      </text>
    </comment>
    <comment ref="I69" authorId="0" shapeId="0" xr:uid="{C12E1373-7C7D-46E2-9754-DA97FBAA3E84}">
      <text>
        <r>
          <rPr>
            <b/>
            <sz val="9"/>
            <color indexed="81"/>
            <rFont val="돋움"/>
            <family val="3"/>
            <charset val="129"/>
          </rPr>
          <t xml:space="preserve">두부랑콩비지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시골청국장</t>
        </r>
      </text>
    </comment>
    <comment ref="J69" authorId="0" shapeId="0" xr:uid="{49D98642-B9FE-4E08-8768-5C5D960ACA9D}">
      <text>
        <r>
          <rPr>
            <b/>
            <sz val="9"/>
            <color indexed="81"/>
            <rFont val="돋움"/>
            <family val="3"/>
            <charset val="129"/>
          </rPr>
          <t>심장내과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병원비
</t>
        </r>
        <r>
          <rPr>
            <b/>
            <sz val="9"/>
            <color indexed="81"/>
            <rFont val="Tahoma"/>
            <family val="2"/>
          </rPr>
          <t xml:space="preserve"> - 27/3/23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혈액검사
</t>
        </r>
        <r>
          <rPr>
            <b/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돋움"/>
            <family val="3"/>
            <charset val="129"/>
          </rPr>
          <t>심전도검사비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70" authorId="0" shapeId="0" xr:uid="{E7019694-BA4B-456F-8574-DCA73570FEC2}">
      <text>
        <r>
          <rPr>
            <b/>
            <sz val="9"/>
            <color indexed="81"/>
            <rFont val="돋움"/>
            <family val="3"/>
            <charset val="129"/>
          </rPr>
          <t>윤지영청국장 구입
 -200g 8개, 공영쇼핑</t>
        </r>
      </text>
    </comment>
    <comment ref="I71" authorId="0" shapeId="0" xr:uid="{F538DAD6-CED1-4A8A-8E18-F922F0EB312E}">
      <text>
        <r>
          <rPr>
            <b/>
            <sz val="9"/>
            <color indexed="81"/>
            <rFont val="돋움"/>
            <family val="3"/>
            <charset val="129"/>
          </rPr>
          <t xml:space="preserve">해물감치미 1kg 구입
- 맛선생 대체용 시험사용
- 단가 : 맛선생의 50%수준 </t>
        </r>
      </text>
    </comment>
    <comment ref="I72" authorId="0" shapeId="0" xr:uid="{6F163D92-C8C6-42D0-A590-F3BE37AA5C9B}">
      <text>
        <r>
          <rPr>
            <b/>
            <sz val="9"/>
            <color indexed="81"/>
            <rFont val="돋움"/>
            <family val="3"/>
            <charset val="129"/>
          </rPr>
          <t>트레이더스
 계란 60구 사육환경2번
 바지락살
 경희/갑철/서연 식사</t>
        </r>
      </text>
    </comment>
    <comment ref="I73" authorId="0" shapeId="0" xr:uid="{ACC302AD-9543-4B0A-9EF7-ECD9D9F221C3}">
      <text>
        <r>
          <rPr>
            <b/>
            <sz val="9"/>
            <color indexed="81"/>
            <rFont val="Tahoma"/>
            <family val="2"/>
          </rPr>
          <t xml:space="preserve">8/26 </t>
        </r>
        <r>
          <rPr>
            <b/>
            <sz val="9"/>
            <color indexed="81"/>
            <rFont val="돋움"/>
            <family val="3"/>
            <charset val="129"/>
          </rPr>
          <t>주유비</t>
        </r>
      </text>
    </comment>
    <comment ref="I74" authorId="0" shapeId="0" xr:uid="{B2AAB884-C418-4460-ACE8-75CA553AF3DC}">
      <text>
        <r>
          <rPr>
            <b/>
            <sz val="9"/>
            <color indexed="81"/>
            <rFont val="Tahoma"/>
            <family val="2"/>
          </rPr>
          <t xml:space="preserve">8/28 </t>
        </r>
        <r>
          <rPr>
            <b/>
            <sz val="9"/>
            <color indexed="81"/>
            <rFont val="돋움"/>
            <family val="3"/>
            <charset val="129"/>
          </rPr>
          <t>세븐일레븐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이전방문</t>
        </r>
      </text>
    </comment>
    <comment ref="G78" authorId="0" shapeId="0" xr:uid="{3E204836-4830-46A7-B7B3-121F0DFF7FB0}">
      <text>
        <r>
          <rPr>
            <b/>
            <sz val="9"/>
            <color indexed="81"/>
            <rFont val="Tahoma"/>
            <family val="2"/>
          </rPr>
          <t>6/23 10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충전</t>
        </r>
      </text>
    </comment>
    <comment ref="H78" authorId="0" shapeId="0" xr:uid="{A2413E08-F4DE-4704-BC9E-18D30512BEA7}">
      <text>
        <r>
          <rPr>
            <b/>
            <sz val="9"/>
            <color indexed="81"/>
            <rFont val="Tahoma"/>
            <family val="2"/>
          </rPr>
          <t>7/22 5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충전</t>
        </r>
      </text>
    </comment>
    <comment ref="I78" authorId="0" shapeId="0" xr:uid="{241969D8-7981-4DF7-B9FF-A0D7739989B0}">
      <text>
        <r>
          <rPr>
            <b/>
            <sz val="9"/>
            <color indexed="81"/>
            <rFont val="Tahoma"/>
            <family val="2"/>
          </rPr>
          <t>8/1 10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충전</t>
        </r>
      </text>
    </comment>
    <comment ref="I83" authorId="0" shapeId="0" xr:uid="{174F0D57-F266-49C1-85C2-1930FDA90520}">
      <text>
        <r>
          <rPr>
            <b/>
            <sz val="9"/>
            <color indexed="81"/>
            <rFont val="돋움"/>
            <family val="3"/>
            <charset val="129"/>
          </rPr>
          <t>담배</t>
        </r>
        <r>
          <rPr>
            <b/>
            <sz val="9"/>
            <color indexed="81"/>
            <rFont val="Tahoma"/>
            <family val="2"/>
          </rPr>
          <t xml:space="preserve"> 15</t>
        </r>
        <r>
          <rPr>
            <b/>
            <sz val="9"/>
            <color indexed="81"/>
            <rFont val="돋움"/>
            <family val="3"/>
            <charset val="129"/>
          </rPr>
          <t>갑</t>
        </r>
      </text>
    </comment>
    <comment ref="I84" authorId="0" shapeId="0" xr:uid="{77A0B057-2900-4505-B678-E167B03CEE65}">
      <text>
        <r>
          <rPr>
            <b/>
            <sz val="9"/>
            <color indexed="81"/>
            <rFont val="돋움"/>
            <family val="3"/>
            <charset val="129"/>
          </rPr>
          <t>생필품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선구입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만중</t>
        </r>
        <r>
          <rPr>
            <b/>
            <sz val="9"/>
            <color indexed="81"/>
            <rFont val="Tahoma"/>
            <family val="2"/>
          </rPr>
          <t xml:space="preserve"> 50%
</t>
        </r>
        <r>
          <rPr>
            <b/>
            <sz val="9"/>
            <color indexed="81"/>
            <rFont val="돋움"/>
            <family val="3"/>
            <charset val="129"/>
          </rPr>
          <t>마사지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(8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87" authorId="0" shapeId="0" xr:uid="{41B2423C-3B08-4CA5-8E4D-9AEC2FF89383}">
      <text>
        <r>
          <rPr>
            <b/>
            <sz val="9"/>
            <color indexed="81"/>
            <rFont val="돋움"/>
            <family val="3"/>
            <charset val="129"/>
          </rPr>
          <t>부가수입으로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진행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경희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우체국보험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만기배당금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경희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부가세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환급</t>
        </r>
      </text>
    </comment>
    <comment ref="I88" authorId="0" shapeId="0" xr:uid="{988468BD-9DE5-46D1-A9FC-E615655A1F75}">
      <text>
        <r>
          <rPr>
            <b/>
            <sz val="9"/>
            <color indexed="81"/>
            <rFont val="Tahoma"/>
            <family val="2"/>
          </rPr>
          <t xml:space="preserve">8/28 </t>
        </r>
        <r>
          <rPr>
            <b/>
            <sz val="9"/>
            <color indexed="81"/>
            <rFont val="돋움"/>
            <family val="3"/>
            <charset val="129"/>
          </rPr>
          <t>어머님</t>
        </r>
        <r>
          <rPr>
            <b/>
            <sz val="9"/>
            <color indexed="81"/>
            <rFont val="돋움"/>
            <family val="3"/>
            <charset val="129"/>
          </rPr>
          <t>입원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소모품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구입
</t>
        </r>
      </text>
    </comment>
    <comment ref="I89" authorId="0" shapeId="0" xr:uid="{93045419-EFE9-4016-A5A4-495A1BF99D9E}">
      <text>
        <r>
          <rPr>
            <b/>
            <sz val="9"/>
            <color indexed="81"/>
            <rFont val="돋움"/>
            <family val="3"/>
            <charset val="129"/>
          </rPr>
          <t>공용화장실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세면대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수전
</t>
        </r>
        <r>
          <rPr>
            <b/>
            <sz val="9"/>
            <color indexed="81"/>
            <rFont val="Tahoma"/>
            <family val="2"/>
          </rPr>
          <t xml:space="preserve"> + </t>
        </r>
        <r>
          <rPr>
            <b/>
            <sz val="9"/>
            <color indexed="81"/>
            <rFont val="돋움"/>
            <family val="3"/>
            <charset val="129"/>
          </rPr>
          <t>자동폼업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트랩일체형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배수관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C19" authorId="0" shapeId="0" xr:uid="{8A8D532F-0224-4781-A04C-F679FB01C9D3}">
      <text>
        <r>
          <rPr>
            <b/>
            <sz val="9"/>
            <color indexed="81"/>
            <rFont val="Tahoma"/>
            <family val="2"/>
          </rPr>
          <t xml:space="preserve">12/19 </t>
        </r>
        <r>
          <rPr>
            <b/>
            <sz val="9"/>
            <color indexed="81"/>
            <rFont val="돋움"/>
            <family val="3"/>
            <charset val="129"/>
          </rPr>
          <t>가용잔액</t>
        </r>
        <r>
          <rPr>
            <b/>
            <sz val="9"/>
            <color indexed="81"/>
            <rFont val="Tahoma"/>
            <family val="2"/>
          </rPr>
          <t xml:space="preserve"> : 1,700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KC</t>
        </r>
        <r>
          <rPr>
            <b/>
            <sz val="9"/>
            <color indexed="81"/>
            <rFont val="돋움"/>
            <family val="3"/>
            <charset val="129"/>
          </rPr>
          <t>정리금</t>
        </r>
        <r>
          <rPr>
            <b/>
            <sz val="9"/>
            <color indexed="81"/>
            <rFont val="Tahoma"/>
            <family val="2"/>
          </rPr>
          <t xml:space="preserve"> 5,500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   + </t>
        </r>
        <r>
          <rPr>
            <b/>
            <sz val="9"/>
            <color indexed="81"/>
            <rFont val="돋움"/>
            <family val="3"/>
            <charset val="129"/>
          </rPr>
          <t>기존잔금</t>
        </r>
        <r>
          <rPr>
            <b/>
            <sz val="9"/>
            <color indexed="81"/>
            <rFont val="Tahoma"/>
            <family val="2"/>
          </rPr>
          <t xml:space="preserve"> : 2,200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장모님</t>
        </r>
        <r>
          <rPr>
            <b/>
            <sz val="9"/>
            <color indexed="81"/>
            <rFont val="Tahoma"/>
            <family val="2"/>
          </rPr>
          <t xml:space="preserve"> 1,500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)
 - 12/18 </t>
        </r>
        <r>
          <rPr>
            <b/>
            <sz val="9"/>
            <color indexed="81"/>
            <rFont val="돋움"/>
            <family val="3"/>
            <charset val="129"/>
          </rPr>
          <t>보험대출상환</t>
        </r>
        <r>
          <rPr>
            <b/>
            <sz val="9"/>
            <color indexed="81"/>
            <rFont val="Tahoma"/>
            <family val="2"/>
          </rPr>
          <t xml:space="preserve"> -5,000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전액</t>
        </r>
        <r>
          <rPr>
            <b/>
            <sz val="9"/>
            <color indexed="81"/>
            <rFont val="Tahoma"/>
            <family val="2"/>
          </rPr>
          <t xml:space="preserve">)
 - </t>
        </r>
        <r>
          <rPr>
            <b/>
            <sz val="9"/>
            <color indexed="81"/>
            <rFont val="돋움"/>
            <family val="3"/>
            <charset val="129"/>
          </rPr>
          <t>법인용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개인카드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상환용</t>
        </r>
        <r>
          <rPr>
            <b/>
            <sz val="9"/>
            <color indexed="81"/>
            <rFont val="Tahoma"/>
            <family val="2"/>
          </rPr>
          <t xml:space="preserve"> -850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경희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카드할부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상환용</t>
        </r>
        <r>
          <rPr>
            <b/>
            <sz val="9"/>
            <color indexed="81"/>
            <rFont val="Tahoma"/>
            <family val="2"/>
          </rPr>
          <t xml:space="preserve"> -150</t>
        </r>
        <r>
          <rPr>
            <b/>
            <sz val="9"/>
            <color indexed="81"/>
            <rFont val="돋움"/>
            <family val="3"/>
            <charset val="129"/>
          </rPr>
          <t>만
주식투자잔액</t>
        </r>
        <r>
          <rPr>
            <b/>
            <sz val="9"/>
            <color indexed="81"/>
            <rFont val="Tahoma"/>
            <family val="2"/>
          </rPr>
          <t xml:space="preserve"> : 1,000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경희모름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실잔액</t>
        </r>
        <r>
          <rPr>
            <b/>
            <sz val="9"/>
            <color indexed="81"/>
            <rFont val="Tahoma"/>
            <family val="2"/>
          </rPr>
          <t xml:space="preserve"> : 2,940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1/27 </t>
        </r>
        <r>
          <rPr>
            <b/>
            <sz val="9"/>
            <color indexed="81"/>
            <rFont val="돋움"/>
            <family val="3"/>
            <charset val="129"/>
          </rPr>
          <t>주식수익금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이체</t>
        </r>
        <r>
          <rPr>
            <b/>
            <sz val="9"/>
            <color indexed="81"/>
            <rFont val="Tahoma"/>
            <family val="2"/>
          </rPr>
          <t xml:space="preserve"> 4,000,000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>520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수익중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갑철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옷구매</t>
        </r>
        <r>
          <rPr>
            <b/>
            <sz val="9"/>
            <color indexed="81"/>
            <rFont val="Tahoma"/>
            <family val="2"/>
          </rPr>
          <t xml:space="preserve"> 120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제외
</t>
        </r>
      </text>
    </comment>
    <comment ref="C20" authorId="0" shapeId="0" xr:uid="{4D1CF638-508A-4AAB-B0E7-7E586D7FDE97}">
      <text>
        <r>
          <rPr>
            <b/>
            <sz val="9"/>
            <color indexed="81"/>
            <rFont val="Tahoma"/>
            <family val="2"/>
          </rPr>
          <t>25/12/17 5,500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경희</t>
        </r>
        <r>
          <rPr>
            <b/>
            <sz val="9"/>
            <color indexed="81"/>
            <rFont val="Tahoma"/>
            <family val="2"/>
          </rPr>
          <t>)
+</t>
        </r>
        <r>
          <rPr>
            <b/>
            <sz val="9"/>
            <color indexed="81"/>
            <rFont val="돋움"/>
            <family val="3"/>
            <charset val="129"/>
          </rPr>
          <t>주식계좌</t>
        </r>
        <r>
          <rPr>
            <b/>
            <sz val="9"/>
            <color indexed="81"/>
            <rFont val="Tahoma"/>
            <family val="2"/>
          </rPr>
          <t xml:space="preserve"> 1,300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(200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손실</t>
        </r>
        <r>
          <rPr>
            <b/>
            <sz val="9"/>
            <color indexed="81"/>
            <rFont val="Tahoma"/>
            <family val="2"/>
          </rPr>
          <t xml:space="preserve">)
26/1/7 </t>
        </r>
        <r>
          <rPr>
            <b/>
            <sz val="9"/>
            <color indexed="81"/>
            <rFont val="돋움"/>
            <family val="3"/>
            <charset val="129"/>
          </rPr>
          <t>주식투자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: 3,200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정리잔금</t>
        </r>
        <r>
          <rPr>
            <b/>
            <sz val="9"/>
            <color indexed="81"/>
            <rFont val="Tahoma"/>
            <family val="2"/>
          </rPr>
          <t xml:space="preserve"> 1,300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경희계좌</t>
        </r>
        <r>
          <rPr>
            <b/>
            <sz val="9"/>
            <color indexed="81"/>
            <rFont val="Tahoma"/>
            <family val="2"/>
          </rPr>
          <t xml:space="preserve"> 1,000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보함대출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갑철</t>
        </r>
        <r>
          <rPr>
            <b/>
            <sz val="9"/>
            <color indexed="81"/>
            <rFont val="Tahoma"/>
            <family val="2"/>
          </rPr>
          <t>) 900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>937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23" authorId="0" shapeId="0" xr:uid="{A9A059B5-9940-40D4-AA01-1EDBCD002052}">
      <text>
        <r>
          <rPr>
            <b/>
            <sz val="9"/>
            <color indexed="81"/>
            <rFont val="돋움"/>
            <family val="3"/>
            <charset val="129"/>
          </rPr>
          <t>기본급</t>
        </r>
        <r>
          <rPr>
            <b/>
            <sz val="9"/>
            <color indexed="81"/>
            <rFont val="Tahoma"/>
            <family val="2"/>
          </rPr>
          <t xml:space="preserve"> 250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잔업</t>
        </r>
        <r>
          <rPr>
            <b/>
            <sz val="9"/>
            <color indexed="81"/>
            <rFont val="Tahoma"/>
            <family val="2"/>
          </rPr>
          <t xml:space="preserve"> 33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식대</t>
        </r>
        <r>
          <rPr>
            <b/>
            <sz val="9"/>
            <color indexed="81"/>
            <rFont val="Tahoma"/>
            <family val="2"/>
          </rPr>
          <t xml:space="preserve"> -10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</t>
        </r>
      </text>
    </comment>
    <comment ref="C24" authorId="0" shapeId="0" xr:uid="{A7A07D08-52C1-411C-8C25-56CC1C0D03C3}">
      <text>
        <r>
          <rPr>
            <b/>
            <sz val="9"/>
            <color indexed="81"/>
            <rFont val="Tahoma"/>
            <family val="2"/>
          </rPr>
          <t xml:space="preserve">26/1/6 </t>
        </r>
        <r>
          <rPr>
            <b/>
            <sz val="9"/>
            <color indexed="81"/>
            <rFont val="돋움"/>
            <family val="3"/>
            <charset val="129"/>
          </rPr>
          <t>갑철보험</t>
        </r>
        <r>
          <rPr>
            <b/>
            <sz val="9"/>
            <color indexed="81"/>
            <rFont val="Tahoma"/>
            <family val="2"/>
          </rPr>
          <t xml:space="preserve"> 937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대출진행</t>
        </r>
        <r>
          <rPr>
            <b/>
            <sz val="9"/>
            <color indexed="81"/>
            <rFont val="Tahoma"/>
            <family val="2"/>
          </rPr>
          <t xml:space="preserve">(4.0%)
 - </t>
        </r>
        <r>
          <rPr>
            <b/>
            <sz val="9"/>
            <color indexed="81"/>
            <rFont val="돋움"/>
            <family val="3"/>
            <charset val="129"/>
          </rPr>
          <t>삼성전자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하이닉스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주식투자
현금부족시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돋움"/>
            <family val="3"/>
            <charset val="129"/>
          </rPr>
          <t>대출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진행필요</t>
        </r>
      </text>
    </comment>
    <comment ref="G24" authorId="0" shapeId="0" xr:uid="{BABF1B93-B73B-4105-AE61-F846DCF7E559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월말</t>
        </r>
        <r>
          <rPr>
            <b/>
            <sz val="9"/>
            <color indexed="81"/>
            <rFont val="Tahoma"/>
            <family val="2"/>
          </rPr>
          <t xml:space="preserve"> 60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납부</t>
        </r>
      </text>
    </comment>
    <comment ref="E25" authorId="0" shapeId="0" xr:uid="{8C7B0621-FB62-4CF1-A687-894424C4133B}">
      <text>
        <r>
          <rPr>
            <b/>
            <sz val="9"/>
            <color indexed="81"/>
            <rFont val="Tahoma"/>
            <family val="2"/>
          </rPr>
          <t xml:space="preserve">26/1/7 </t>
        </r>
        <r>
          <rPr>
            <b/>
            <sz val="9"/>
            <color indexed="81"/>
            <rFont val="돋움"/>
            <family val="3"/>
            <charset val="129"/>
          </rPr>
          <t>주식투자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: 3,200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정리잔금</t>
        </r>
        <r>
          <rPr>
            <b/>
            <sz val="9"/>
            <color indexed="81"/>
            <rFont val="Tahoma"/>
            <family val="2"/>
          </rPr>
          <t xml:space="preserve"> 1,300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경희계좌</t>
        </r>
        <r>
          <rPr>
            <b/>
            <sz val="9"/>
            <color indexed="81"/>
            <rFont val="Tahoma"/>
            <family val="2"/>
          </rPr>
          <t xml:space="preserve"> 1,000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보함대출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갑철</t>
        </r>
        <r>
          <rPr>
            <b/>
            <sz val="9"/>
            <color indexed="81"/>
            <rFont val="Tahoma"/>
            <family val="2"/>
          </rPr>
          <t>) 900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>937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</t>
        </r>
        <r>
          <rPr>
            <b/>
            <sz val="9"/>
            <color indexed="81"/>
            <rFont val="Tahoma"/>
            <family val="2"/>
          </rPr>
          <t>)
26/1/14 100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>3,300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처형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폐차수익금</t>
        </r>
        <r>
          <rPr>
            <b/>
            <sz val="9"/>
            <color indexed="81"/>
            <rFont val="Tahoma"/>
            <family val="2"/>
          </rPr>
          <t xml:space="preserve"> 120</t>
        </r>
        <r>
          <rPr>
            <b/>
            <sz val="9"/>
            <color indexed="81"/>
            <rFont val="돋움"/>
            <family val="3"/>
            <charset val="129"/>
          </rPr>
          <t xml:space="preserve">만원중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사용했으니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폐차수익은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사용하라고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</text>
    </comment>
    <comment ref="E26" authorId="0" shapeId="0" xr:uid="{AC7067A0-647B-4462-81EB-F88F5AA3E101}">
      <text>
        <r>
          <rPr>
            <b/>
            <sz val="9"/>
            <color indexed="81"/>
            <rFont val="Tahoma"/>
            <family val="2"/>
          </rPr>
          <t xml:space="preserve">26/1/7 </t>
        </r>
        <r>
          <rPr>
            <b/>
            <sz val="9"/>
            <color indexed="81"/>
            <rFont val="돋움"/>
            <family val="3"/>
            <charset val="129"/>
          </rPr>
          <t>주식투자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: 3,200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정리잔금</t>
        </r>
        <r>
          <rPr>
            <b/>
            <sz val="9"/>
            <color indexed="81"/>
            <rFont val="Tahoma"/>
            <family val="2"/>
          </rPr>
          <t xml:space="preserve"> 1,300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경희계좌</t>
        </r>
        <r>
          <rPr>
            <b/>
            <sz val="9"/>
            <color indexed="81"/>
            <rFont val="Tahoma"/>
            <family val="2"/>
          </rPr>
          <t xml:space="preserve"> 1,000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보함대출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갑철</t>
        </r>
        <r>
          <rPr>
            <b/>
            <sz val="9"/>
            <color indexed="81"/>
            <rFont val="Tahoma"/>
            <family val="2"/>
          </rPr>
          <t>) 900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>937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</t>
        </r>
        <r>
          <rPr>
            <b/>
            <sz val="9"/>
            <color indexed="81"/>
            <rFont val="Tahoma"/>
            <family val="2"/>
          </rPr>
          <t>)
26/1/14 100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>3,300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처형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폐차수익금</t>
        </r>
        <r>
          <rPr>
            <b/>
            <sz val="9"/>
            <color indexed="81"/>
            <rFont val="Tahoma"/>
            <family val="2"/>
          </rPr>
          <t xml:space="preserve"> 120</t>
        </r>
        <r>
          <rPr>
            <b/>
            <sz val="9"/>
            <color indexed="81"/>
            <rFont val="돋움"/>
            <family val="3"/>
            <charset val="129"/>
          </rPr>
          <t xml:space="preserve">만원중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사용했으니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폐차수익은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사용하라고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</text>
    </comment>
    <comment ref="C37" authorId="0" shapeId="0" xr:uid="{D9D130DC-7A3E-4468-B8BC-E286C095C5E9}">
      <text>
        <r>
          <rPr>
            <b/>
            <sz val="9"/>
            <color indexed="81"/>
            <rFont val="Tahoma"/>
            <family val="2"/>
          </rPr>
          <t>26.5.6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: 120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사용
</t>
        </r>
        <r>
          <rPr>
            <b/>
            <sz val="9"/>
            <color indexed="81"/>
            <rFont val="Tahoma"/>
            <family val="2"/>
          </rPr>
          <t xml:space="preserve"># </t>
        </r>
        <r>
          <rPr>
            <b/>
            <sz val="9"/>
            <color indexed="81"/>
            <rFont val="돋움"/>
            <family val="3"/>
            <charset val="129"/>
          </rPr>
          <t>일상생활은</t>
        </r>
        <r>
          <rPr>
            <b/>
            <sz val="9"/>
            <color indexed="81"/>
            <rFont val="Tahoma"/>
            <family val="2"/>
          </rPr>
          <t xml:space="preserve"> 100-120</t>
        </r>
        <r>
          <rPr>
            <b/>
            <sz val="9"/>
            <color indexed="81"/>
            <rFont val="돋움"/>
            <family val="3"/>
            <charset val="129"/>
          </rPr>
          <t>만원으로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가능판단
</t>
        </r>
        <r>
          <rPr>
            <b/>
            <sz val="9"/>
            <color indexed="81"/>
            <rFont val="Tahoma"/>
            <family val="2"/>
          </rPr>
          <t xml:space="preserve">   -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30-50</t>
        </r>
        <r>
          <rPr>
            <b/>
            <sz val="9"/>
            <color indexed="81"/>
            <rFont val="돋움"/>
            <family val="3"/>
            <charset val="129"/>
          </rPr>
          <t>만원은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비일상적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사용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적립이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것임</t>
        </r>
      </text>
    </comment>
    <comment ref="C38" authorId="0" shapeId="0" xr:uid="{6F3DB114-9954-4F7C-A2AF-A30560E7A17D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경희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 xml:space="preserve">개월분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갑철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개월분</t>
        </r>
      </text>
    </comment>
    <comment ref="G38" authorId="0" shapeId="0" xr:uid="{9F9BDA01-2083-49AF-8A9F-C23B74856320}">
      <text>
        <r>
          <rPr>
            <sz val="9"/>
            <color indexed="81"/>
            <rFont val="돋움"/>
            <family val="3"/>
            <charset val="129"/>
          </rPr>
          <t>웅진코웨이</t>
        </r>
        <r>
          <rPr>
            <sz val="9"/>
            <color indexed="81"/>
            <rFont val="Tahoma"/>
            <family val="2"/>
          </rPr>
          <t xml:space="preserve"> : 26/5/4 </t>
        </r>
        <r>
          <rPr>
            <sz val="9"/>
            <color indexed="81"/>
            <rFont val="돋움"/>
            <family val="3"/>
            <charset val="129"/>
          </rPr>
          <t>신규국민카드로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고객센터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통화
</t>
        </r>
        <r>
          <rPr>
            <u/>
            <sz val="9"/>
            <color indexed="81"/>
            <rFont val="돋움"/>
            <family val="3"/>
            <charset val="129"/>
          </rPr>
          <t xml:space="preserve">
사용료</t>
        </r>
        <r>
          <rPr>
            <u/>
            <sz val="9"/>
            <color indexed="81"/>
            <rFont val="Tahoma"/>
            <family val="2"/>
          </rPr>
          <t xml:space="preserve"> : -26.5</t>
        </r>
        <r>
          <rPr>
            <u/>
            <sz val="9"/>
            <color indexed="81"/>
            <rFont val="돋움"/>
            <family val="3"/>
            <charset val="129"/>
          </rPr>
          <t>월</t>
        </r>
        <r>
          <rPr>
            <u/>
            <sz val="9"/>
            <color indexed="81"/>
            <rFont val="Tahoma"/>
            <family val="2"/>
          </rPr>
          <t xml:space="preserve"> 64,210 / 26.6</t>
        </r>
        <r>
          <rPr>
            <u/>
            <sz val="9"/>
            <color indexed="81"/>
            <rFont val="돋움"/>
            <family val="3"/>
            <charset val="129"/>
          </rPr>
          <t>월부터</t>
        </r>
        <r>
          <rPr>
            <u/>
            <sz val="9"/>
            <color indexed="81"/>
            <rFont val="Tahoma"/>
            <family val="2"/>
          </rPr>
          <t xml:space="preserve"> 81,490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정수기</t>
        </r>
        <r>
          <rPr>
            <sz val="9"/>
            <color indexed="81"/>
            <rFont val="Tahoma"/>
            <family val="2"/>
          </rPr>
          <t xml:space="preserve"> 28,600
 - </t>
        </r>
        <r>
          <rPr>
            <sz val="9"/>
            <color indexed="81"/>
            <rFont val="돋움"/>
            <family val="3"/>
            <charset val="129"/>
          </rPr>
          <t>공기청정기</t>
        </r>
        <r>
          <rPr>
            <sz val="9"/>
            <color indexed="81"/>
            <rFont val="Tahoma"/>
            <family val="2"/>
          </rPr>
          <t xml:space="preserve"> 31,710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) 18,900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) 17,280 (26.2-5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면제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</t>
        </r>
        <r>
          <rPr>
            <sz val="9"/>
            <color indexed="81"/>
            <rFont val="Tahoma"/>
            <family val="2"/>
          </rPr>
          <t xml:space="preserve">)
 - </t>
        </r>
        <r>
          <rPr>
            <sz val="9"/>
            <color indexed="81"/>
            <rFont val="돋움"/>
            <family val="3"/>
            <charset val="129"/>
          </rPr>
          <t>제휴카드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감면</t>
        </r>
        <r>
          <rPr>
            <sz val="9"/>
            <color indexed="81"/>
            <rFont val="Tahoma"/>
            <family val="2"/>
          </rPr>
          <t xml:space="preserve"> -15,000
</t>
        </r>
      </text>
    </comment>
    <comment ref="E39" authorId="0" shapeId="0" xr:uid="{1EFD636A-9697-48A7-908B-15FFF3C2D1BF}">
      <text>
        <r>
          <rPr>
            <b/>
            <sz val="9"/>
            <color indexed="81"/>
            <rFont val="Tahoma"/>
            <family val="2"/>
          </rPr>
          <t>26/4/29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첫입금</t>
        </r>
        <r>
          <rPr>
            <b/>
            <sz val="9"/>
            <color indexed="81"/>
            <rFont val="Tahoma"/>
            <family val="2"/>
          </rPr>
          <t xml:space="preserve"> 220</t>
        </r>
        <r>
          <rPr>
            <b/>
            <sz val="9"/>
            <color indexed="81"/>
            <rFont val="돋움"/>
            <family val="3"/>
            <charset val="129"/>
          </rPr>
          <t>만
이후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매월</t>
        </r>
        <r>
          <rPr>
            <b/>
            <sz val="9"/>
            <color indexed="81"/>
            <rFont val="Tahoma"/>
            <family val="2"/>
          </rPr>
          <t xml:space="preserve"> 29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입금예정
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국민은행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계좌
</t>
        </r>
        <r>
          <rPr>
            <b/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돋움"/>
            <family val="3"/>
            <charset val="129"/>
          </rPr>
          <t>국민연금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 xml:space="preserve">기초연금도
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국민은행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계좌로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변경함</t>
        </r>
      </text>
    </comment>
    <comment ref="C40" authorId="0" shapeId="0" xr:uid="{0D72660F-B8E8-4A6B-9C1B-4BB64D6FF1C4}">
      <text>
        <r>
          <rPr>
            <b/>
            <sz val="9"/>
            <color indexed="81"/>
            <rFont val="돋움"/>
            <family val="3"/>
            <charset val="129"/>
          </rPr>
          <t>사무실준비</t>
        </r>
        <r>
          <rPr>
            <b/>
            <sz val="9"/>
            <color indexed="81"/>
            <rFont val="Tahoma"/>
            <family val="2"/>
          </rPr>
          <t xml:space="preserve"> 173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청소</t>
        </r>
        <r>
          <rPr>
            <b/>
            <sz val="9"/>
            <color indexed="81"/>
            <rFont val="Tahoma"/>
            <family val="2"/>
          </rPr>
          <t xml:space="preserve"> 23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가구</t>
        </r>
        <r>
          <rPr>
            <b/>
            <sz val="9"/>
            <color indexed="81"/>
            <rFont val="Tahoma"/>
            <family val="2"/>
          </rPr>
          <t xml:space="preserve"> 150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(6/20)</t>
        </r>
        <r>
          <rPr>
            <b/>
            <sz val="9"/>
            <color indexed="81"/>
            <rFont val="돋움"/>
            <family val="3"/>
            <charset val="129"/>
          </rPr>
          <t xml:space="preserve">
타이어교체</t>
        </r>
        <r>
          <rPr>
            <b/>
            <sz val="9"/>
            <color indexed="81"/>
            <rFont val="Tahoma"/>
            <family val="2"/>
          </rPr>
          <t xml:space="preserve"> 117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- 26/4/14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콘티넨탈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트랙션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310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- 26/6/16
 - </t>
        </r>
        <r>
          <rPr>
            <b/>
            <sz val="9"/>
            <color indexed="81"/>
            <rFont val="돋움"/>
            <family val="3"/>
            <charset val="129"/>
          </rPr>
          <t>보선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지원해줌</t>
        </r>
      </text>
    </comment>
    <comment ref="E40" authorId="0" shapeId="0" xr:uid="{35E7DB60-A2EE-4BF7-B3D2-CAA616D7F0D6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</t>
        </r>
      </text>
    </comment>
    <comment ref="G40" authorId="0" shapeId="0" xr:uid="{57E5DB45-760A-49AC-AAD9-218739B24442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통신비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감면</t>
        </r>
        <r>
          <rPr>
            <b/>
            <sz val="9"/>
            <color indexed="81"/>
            <rFont val="Tahoma"/>
            <family val="2"/>
          </rPr>
          <t xml:space="preserve"> 24,000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기초연금에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E41" authorId="0" shapeId="0" xr:uid="{AB6B98EE-E51A-4923-8E98-C55D683DFF0D}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월세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부가세별도</t>
        </r>
        <r>
          <rPr>
            <b/>
            <sz val="9"/>
            <color indexed="81"/>
            <rFont val="Tahoma"/>
            <family val="2"/>
          </rPr>
          <t xml:space="preserve">)
   . </t>
        </r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감액제외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최대월세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현금으로</t>
        </r>
        <r>
          <rPr>
            <b/>
            <sz val="9"/>
            <color indexed="81"/>
            <rFont val="Tahoma"/>
            <family val="2"/>
          </rPr>
          <t xml:space="preserve"> 20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별도받음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E43" authorId="0" shapeId="0" xr:uid="{3A853A9A-8053-4B66-A327-1DC791A94514}">
      <text>
        <r>
          <rPr>
            <b/>
            <sz val="9"/>
            <color indexed="81"/>
            <rFont val="돋움"/>
            <family val="3"/>
            <charset val="129"/>
          </rPr>
          <t>기본급</t>
        </r>
        <r>
          <rPr>
            <b/>
            <sz val="9"/>
            <color indexed="81"/>
            <rFont val="Tahoma"/>
            <family val="2"/>
          </rPr>
          <t xml:space="preserve"> 218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세후</t>
        </r>
        <r>
          <rPr>
            <b/>
            <sz val="9"/>
            <color indexed="81"/>
            <rFont val="Tahoma"/>
            <family val="2"/>
          </rPr>
          <t xml:space="preserve"> 196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건강보험</t>
        </r>
        <r>
          <rPr>
            <b/>
            <sz val="9"/>
            <color indexed="81"/>
            <rFont val="Tahoma"/>
            <family val="2"/>
          </rPr>
          <t xml:space="preserve"> 8%)
</t>
        </r>
        <r>
          <rPr>
            <b/>
            <sz val="9"/>
            <color indexed="81"/>
            <rFont val="돋움"/>
            <family val="3"/>
            <charset val="129"/>
          </rPr>
          <t>퇴직금추가</t>
        </r>
        <r>
          <rPr>
            <b/>
            <sz val="9"/>
            <color indexed="81"/>
            <rFont val="Tahoma"/>
            <family val="2"/>
          </rPr>
          <t xml:space="preserve"> : 210</t>
        </r>
        <r>
          <rPr>
            <b/>
            <sz val="9"/>
            <color indexed="81"/>
            <rFont val="돋움"/>
            <family val="3"/>
            <charset val="129"/>
          </rPr>
          <t>만
실증가액</t>
        </r>
        <r>
          <rPr>
            <b/>
            <sz val="9"/>
            <color indexed="81"/>
            <rFont val="Tahoma"/>
            <family val="2"/>
          </rPr>
          <t xml:space="preserve"> : 155</t>
        </r>
        <r>
          <rPr>
            <b/>
            <sz val="9"/>
            <color indexed="81"/>
            <rFont val="돋움"/>
            <family val="3"/>
            <charset val="129"/>
          </rPr>
          <t>만
추가경비</t>
        </r>
        <r>
          <rPr>
            <b/>
            <sz val="9"/>
            <color indexed="81"/>
            <rFont val="Tahoma"/>
            <family val="2"/>
          </rPr>
          <t xml:space="preserve"> : -55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
 - </t>
        </r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-45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유류비</t>
        </r>
        <r>
          <rPr>
            <b/>
            <sz val="9"/>
            <color indexed="81"/>
            <rFont val="Tahoma"/>
            <family val="2"/>
          </rPr>
          <t xml:space="preserve"> -22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건강보험</t>
        </r>
        <r>
          <rPr>
            <b/>
            <sz val="9"/>
            <color indexed="81"/>
            <rFont val="Tahoma"/>
            <family val="2"/>
          </rPr>
          <t xml:space="preserve"> +12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C47" authorId="0" shapeId="0" xr:uid="{03126A03-C348-496B-8012-292936DCE7EE}">
      <text>
        <r>
          <rPr>
            <b/>
            <sz val="9"/>
            <color indexed="81"/>
            <rFont val="돋움"/>
            <family val="3"/>
            <charset val="129"/>
          </rPr>
          <t>아퍼트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시세와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연동필요
</t>
        </r>
        <r>
          <rPr>
            <b/>
            <sz val="9"/>
            <color indexed="81"/>
            <rFont val="Tahoma"/>
            <family val="2"/>
          </rPr>
          <t>- 7</t>
        </r>
        <r>
          <rPr>
            <b/>
            <sz val="9"/>
            <color indexed="81"/>
            <rFont val="돋움"/>
            <family val="3"/>
            <charset val="129"/>
          </rPr>
          <t>억으로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우선고려</t>
        </r>
      </text>
    </comment>
    <comment ref="D48" authorId="0" shapeId="0" xr:uid="{391890FD-040C-442E-BBA7-362883F703BB}">
      <text>
        <r>
          <rPr>
            <b/>
            <sz val="9"/>
            <color indexed="81"/>
            <rFont val="Tahoma"/>
            <family val="2"/>
          </rPr>
          <t>26.9</t>
        </r>
        <r>
          <rPr>
            <b/>
            <sz val="9"/>
            <color indexed="81"/>
            <rFont val="돋움"/>
            <family val="3"/>
            <charset val="129"/>
          </rPr>
          <t>월말
경희</t>
        </r>
        <r>
          <rPr>
            <b/>
            <sz val="9"/>
            <color indexed="81"/>
            <rFont val="Tahoma"/>
            <family val="2"/>
          </rPr>
          <t xml:space="preserve"> 1,280</t>
        </r>
        <r>
          <rPr>
            <b/>
            <sz val="9"/>
            <color indexed="81"/>
            <rFont val="돋움"/>
            <family val="3"/>
            <charset val="129"/>
          </rPr>
          <t>만
갑철</t>
        </r>
        <r>
          <rPr>
            <b/>
            <sz val="9"/>
            <color indexed="81"/>
            <rFont val="Tahoma"/>
            <family val="2"/>
          </rPr>
          <t xml:space="preserve"> 580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G48" authorId="0" shapeId="0" xr:uid="{ACDFFC91-A3A9-4D9F-ABBF-F5EDCA3EB417}">
      <text>
        <r>
          <rPr>
            <b/>
            <sz val="9"/>
            <color indexed="81"/>
            <rFont val="돋움"/>
            <family val="3"/>
            <charset val="129"/>
          </rPr>
          <t>관리비</t>
        </r>
        <r>
          <rPr>
            <b/>
            <sz val="9"/>
            <color indexed="81"/>
            <rFont val="Tahoma"/>
            <family val="2"/>
          </rPr>
          <t xml:space="preserve"> : 7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태희지급
주차비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정기권차량으로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 xml:space="preserve">천원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매</t>
        </r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개월단위로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계속사용하면
</t>
        </r>
        <r>
          <rPr>
            <b/>
            <sz val="9"/>
            <color indexed="81"/>
            <rFont val="Tahoma"/>
            <family val="2"/>
          </rPr>
          <t xml:space="preserve">    6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  . </t>
        </r>
        <r>
          <rPr>
            <b/>
            <sz val="9"/>
            <color indexed="81"/>
            <rFont val="돋움"/>
            <family val="3"/>
            <charset val="129"/>
          </rPr>
          <t>확인필요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G54" authorId="0" shapeId="0" xr:uid="{BE98C07E-BAE0-468F-AA2F-B89C19A63F4A}">
      <text>
        <r>
          <rPr>
            <sz val="9"/>
            <color indexed="81"/>
            <rFont val="돋움"/>
            <family val="3"/>
            <charset val="129"/>
          </rPr>
          <t>웅진코웨이</t>
        </r>
        <r>
          <rPr>
            <sz val="9"/>
            <color indexed="81"/>
            <rFont val="Tahoma"/>
            <family val="2"/>
          </rPr>
          <t xml:space="preserve"> : 26/5/4 </t>
        </r>
        <r>
          <rPr>
            <sz val="9"/>
            <color indexed="81"/>
            <rFont val="돋움"/>
            <family val="3"/>
            <charset val="129"/>
          </rPr>
          <t>신규국민카드로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고객센터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통화
</t>
        </r>
        <r>
          <rPr>
            <u/>
            <sz val="9"/>
            <color indexed="81"/>
            <rFont val="돋움"/>
            <family val="3"/>
            <charset val="129"/>
          </rPr>
          <t xml:space="preserve">
사용료</t>
        </r>
        <r>
          <rPr>
            <u/>
            <sz val="9"/>
            <color indexed="81"/>
            <rFont val="Tahoma"/>
            <family val="2"/>
          </rPr>
          <t xml:space="preserve"> : -26.5</t>
        </r>
        <r>
          <rPr>
            <u/>
            <sz val="9"/>
            <color indexed="81"/>
            <rFont val="돋움"/>
            <family val="3"/>
            <charset val="129"/>
          </rPr>
          <t>월</t>
        </r>
        <r>
          <rPr>
            <u/>
            <sz val="9"/>
            <color indexed="81"/>
            <rFont val="Tahoma"/>
            <family val="2"/>
          </rPr>
          <t xml:space="preserve"> 64,210 / 26.6</t>
        </r>
        <r>
          <rPr>
            <u/>
            <sz val="9"/>
            <color indexed="81"/>
            <rFont val="돋움"/>
            <family val="3"/>
            <charset val="129"/>
          </rPr>
          <t>월부터</t>
        </r>
        <r>
          <rPr>
            <u/>
            <sz val="9"/>
            <color indexed="81"/>
            <rFont val="Tahoma"/>
            <family val="2"/>
          </rPr>
          <t xml:space="preserve"> 81,490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정수기</t>
        </r>
        <r>
          <rPr>
            <sz val="9"/>
            <color indexed="81"/>
            <rFont val="Tahoma"/>
            <family val="2"/>
          </rPr>
          <t xml:space="preserve"> 28,600
 - </t>
        </r>
        <r>
          <rPr>
            <sz val="9"/>
            <color indexed="81"/>
            <rFont val="돋움"/>
            <family val="3"/>
            <charset val="129"/>
          </rPr>
          <t>공기청정기</t>
        </r>
        <r>
          <rPr>
            <sz val="9"/>
            <color indexed="81"/>
            <rFont val="Tahoma"/>
            <family val="2"/>
          </rPr>
          <t xml:space="preserve"> 31,710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) 18,900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) 17,280 (26.2-5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면제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</t>
        </r>
        <r>
          <rPr>
            <sz val="9"/>
            <color indexed="81"/>
            <rFont val="Tahoma"/>
            <family val="2"/>
          </rPr>
          <t xml:space="preserve">)
 - </t>
        </r>
        <r>
          <rPr>
            <sz val="9"/>
            <color indexed="81"/>
            <rFont val="돋움"/>
            <family val="3"/>
            <charset val="129"/>
          </rPr>
          <t>제휴카드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감면</t>
        </r>
        <r>
          <rPr>
            <sz val="9"/>
            <color indexed="81"/>
            <rFont val="Tahoma"/>
            <family val="2"/>
          </rPr>
          <t xml:space="preserve"> -15,000
</t>
        </r>
      </text>
    </comment>
    <comment ref="E56" authorId="0" shapeId="0" xr:uid="{5FA97906-BFFA-45C9-B5EE-BF94A658BE57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수급대상 : 27년 노인소득하위70%기준 유지
 - 계속 수급가능
부부가구 감액 축소 예상
 - 27년 -20%
   .확정내용 : 0-45% -10%로 조정
 - 28년 -10% (?)
금액인상 / 하후상박 적용가능 : 수령액 인상
 - 27년 금액인상 없음
 - 확정내용 : 0-30% +3만원(인당)
국민연금 수령자 감액 -50% : 감액폐지 여론</t>
        </r>
      </text>
    </comment>
    <comment ref="G56" authorId="0" shapeId="0" xr:uid="{A7D8D2E8-1D43-4CC3-8EF8-9D54D4064B34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통신비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감면</t>
        </r>
        <r>
          <rPr>
            <b/>
            <sz val="9"/>
            <color indexed="81"/>
            <rFont val="Tahoma"/>
            <family val="2"/>
          </rPr>
          <t xml:space="preserve"> 24,000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기초연금에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E59" authorId="0" shapeId="0" xr:uid="{8F3BC26B-A36C-45F4-9AC1-636C0A73A613}">
      <text>
        <r>
          <rPr>
            <b/>
            <sz val="9"/>
            <color indexed="81"/>
            <rFont val="돋움"/>
            <family val="3"/>
            <charset val="129"/>
          </rPr>
          <t>기본급</t>
        </r>
        <r>
          <rPr>
            <b/>
            <sz val="9"/>
            <color indexed="81"/>
            <rFont val="Tahoma"/>
            <family val="2"/>
          </rPr>
          <t xml:space="preserve"> 218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세후</t>
        </r>
        <r>
          <rPr>
            <b/>
            <sz val="9"/>
            <color indexed="81"/>
            <rFont val="Tahoma"/>
            <family val="2"/>
          </rPr>
          <t xml:space="preserve"> 196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건강보험</t>
        </r>
        <r>
          <rPr>
            <b/>
            <sz val="9"/>
            <color indexed="81"/>
            <rFont val="Tahoma"/>
            <family val="2"/>
          </rPr>
          <t xml:space="preserve"> 8%)
</t>
        </r>
        <r>
          <rPr>
            <b/>
            <sz val="9"/>
            <color indexed="81"/>
            <rFont val="돋움"/>
            <family val="3"/>
            <charset val="129"/>
          </rPr>
          <t>퇴직금추가</t>
        </r>
        <r>
          <rPr>
            <b/>
            <sz val="9"/>
            <color indexed="81"/>
            <rFont val="Tahoma"/>
            <family val="2"/>
          </rPr>
          <t xml:space="preserve"> : 210</t>
        </r>
        <r>
          <rPr>
            <b/>
            <sz val="9"/>
            <color indexed="81"/>
            <rFont val="돋움"/>
            <family val="3"/>
            <charset val="129"/>
          </rPr>
          <t>만
실증가액</t>
        </r>
        <r>
          <rPr>
            <b/>
            <sz val="9"/>
            <color indexed="81"/>
            <rFont val="Tahoma"/>
            <family val="2"/>
          </rPr>
          <t xml:space="preserve"> : 155</t>
        </r>
        <r>
          <rPr>
            <b/>
            <sz val="9"/>
            <color indexed="81"/>
            <rFont val="돋움"/>
            <family val="3"/>
            <charset val="129"/>
          </rPr>
          <t>만
추가경비</t>
        </r>
        <r>
          <rPr>
            <b/>
            <sz val="9"/>
            <color indexed="81"/>
            <rFont val="Tahoma"/>
            <family val="2"/>
          </rPr>
          <t xml:space="preserve"> : -55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
 - </t>
        </r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-45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유류비</t>
        </r>
        <r>
          <rPr>
            <b/>
            <sz val="9"/>
            <color indexed="81"/>
            <rFont val="Tahoma"/>
            <family val="2"/>
          </rPr>
          <t xml:space="preserve"> -22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건강보험</t>
        </r>
        <r>
          <rPr>
            <b/>
            <sz val="9"/>
            <color indexed="81"/>
            <rFont val="Tahoma"/>
            <family val="2"/>
          </rPr>
          <t xml:space="preserve"> +12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C63" authorId="0" shapeId="0" xr:uid="{5A778111-1767-4CB2-93E4-7515A2534F85}">
      <text>
        <r>
          <rPr>
            <b/>
            <sz val="9"/>
            <color indexed="81"/>
            <rFont val="돋움"/>
            <family val="3"/>
            <charset val="129"/>
          </rPr>
          <t>아퍼트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시세와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연동필요
</t>
        </r>
        <r>
          <rPr>
            <b/>
            <sz val="9"/>
            <color indexed="81"/>
            <rFont val="Tahoma"/>
            <family val="2"/>
          </rPr>
          <t>- 7</t>
        </r>
        <r>
          <rPr>
            <b/>
            <sz val="9"/>
            <color indexed="81"/>
            <rFont val="돋움"/>
            <family val="3"/>
            <charset val="129"/>
          </rPr>
          <t>억으로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우선고려</t>
        </r>
      </text>
    </comment>
    <comment ref="E63" authorId="0" shapeId="0" xr:uid="{B32320F4-275A-4CF3-8E77-51059DE37153}">
      <text>
        <r>
          <rPr>
            <b/>
            <sz val="9"/>
            <color indexed="81"/>
            <rFont val="돋움"/>
            <family val="3"/>
            <charset val="129"/>
          </rPr>
          <t xml:space="preserve">재해사망시는
</t>
        </r>
        <r>
          <rPr>
            <b/>
            <sz val="9"/>
            <color indexed="81"/>
            <rFont val="Tahoma"/>
            <family val="2"/>
          </rPr>
          <t>3.5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G64" authorId="0" shapeId="0" xr:uid="{7B2426BD-BE36-4278-B8A6-56801444006C}">
      <text>
        <r>
          <rPr>
            <b/>
            <sz val="9"/>
            <color indexed="81"/>
            <rFont val="돋움"/>
            <family val="3"/>
            <charset val="129"/>
          </rPr>
          <t>관리비</t>
        </r>
        <r>
          <rPr>
            <b/>
            <sz val="9"/>
            <color indexed="81"/>
            <rFont val="Tahoma"/>
            <family val="2"/>
          </rPr>
          <t xml:space="preserve"> : 6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태희지급
주차비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정기권차잘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매</t>
        </r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개월단위로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계속사용하면
</t>
        </r>
        <r>
          <rPr>
            <b/>
            <sz val="9"/>
            <color indexed="81"/>
            <rFont val="Tahoma"/>
            <family val="2"/>
          </rPr>
          <t xml:space="preserve">    6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G70" authorId="0" shapeId="0" xr:uid="{98D2E3E2-374B-4291-8343-E51A82E4025E}">
      <text>
        <r>
          <rPr>
            <sz val="9"/>
            <color indexed="81"/>
            <rFont val="돋움"/>
            <family val="3"/>
            <charset val="129"/>
          </rPr>
          <t>웅진코웨이</t>
        </r>
        <r>
          <rPr>
            <sz val="9"/>
            <color indexed="81"/>
            <rFont val="Tahoma"/>
            <family val="2"/>
          </rPr>
          <t xml:space="preserve"> : 26/5/4 </t>
        </r>
        <r>
          <rPr>
            <sz val="9"/>
            <color indexed="81"/>
            <rFont val="돋움"/>
            <family val="3"/>
            <charset val="129"/>
          </rPr>
          <t>신규국민카드로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고객센터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통화
</t>
        </r>
        <r>
          <rPr>
            <u/>
            <sz val="9"/>
            <color indexed="81"/>
            <rFont val="돋움"/>
            <family val="3"/>
            <charset val="129"/>
          </rPr>
          <t xml:space="preserve">
사용료</t>
        </r>
        <r>
          <rPr>
            <u/>
            <sz val="9"/>
            <color indexed="81"/>
            <rFont val="Tahoma"/>
            <family val="2"/>
          </rPr>
          <t xml:space="preserve"> : -26.5</t>
        </r>
        <r>
          <rPr>
            <u/>
            <sz val="9"/>
            <color indexed="81"/>
            <rFont val="돋움"/>
            <family val="3"/>
            <charset val="129"/>
          </rPr>
          <t>월</t>
        </r>
        <r>
          <rPr>
            <u/>
            <sz val="9"/>
            <color indexed="81"/>
            <rFont val="Tahoma"/>
            <family val="2"/>
          </rPr>
          <t xml:space="preserve"> 64,210 / 26.6</t>
        </r>
        <r>
          <rPr>
            <u/>
            <sz val="9"/>
            <color indexed="81"/>
            <rFont val="돋움"/>
            <family val="3"/>
            <charset val="129"/>
          </rPr>
          <t>월부터</t>
        </r>
        <r>
          <rPr>
            <u/>
            <sz val="9"/>
            <color indexed="81"/>
            <rFont val="Tahoma"/>
            <family val="2"/>
          </rPr>
          <t xml:space="preserve"> 81,490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정수기</t>
        </r>
        <r>
          <rPr>
            <sz val="9"/>
            <color indexed="81"/>
            <rFont val="Tahoma"/>
            <family val="2"/>
          </rPr>
          <t xml:space="preserve"> 28,600
 - </t>
        </r>
        <r>
          <rPr>
            <sz val="9"/>
            <color indexed="81"/>
            <rFont val="돋움"/>
            <family val="3"/>
            <charset val="129"/>
          </rPr>
          <t>공기청정기</t>
        </r>
        <r>
          <rPr>
            <sz val="9"/>
            <color indexed="81"/>
            <rFont val="Tahoma"/>
            <family val="2"/>
          </rPr>
          <t xml:space="preserve"> 31,710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) 18,900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) 17,280 (26.2-5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면제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</t>
        </r>
        <r>
          <rPr>
            <sz val="9"/>
            <color indexed="81"/>
            <rFont val="Tahoma"/>
            <family val="2"/>
          </rPr>
          <t xml:space="preserve">)
 - </t>
        </r>
        <r>
          <rPr>
            <sz val="9"/>
            <color indexed="81"/>
            <rFont val="돋움"/>
            <family val="3"/>
            <charset val="129"/>
          </rPr>
          <t>제휴카드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감면</t>
        </r>
        <r>
          <rPr>
            <sz val="9"/>
            <color indexed="81"/>
            <rFont val="Tahoma"/>
            <family val="2"/>
          </rPr>
          <t xml:space="preserve"> -15,000
</t>
        </r>
      </text>
    </comment>
    <comment ref="E72" authorId="0" shapeId="0" xr:uid="{F941ACCE-05EC-4140-A366-FF11264FEAFB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부부가구 감액 축소 예상
 - 29년 -10%
 - 30년 -0%
금액인상 / 하후상박 적용가능 : 수령액 인상
 : 년1% 인상으로 고려함</t>
        </r>
      </text>
    </comment>
    <comment ref="G72" authorId="0" shapeId="0" xr:uid="{60FDF638-AA97-432A-A9EA-5CA0F18E0F27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통신비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감면</t>
        </r>
        <r>
          <rPr>
            <b/>
            <sz val="9"/>
            <color indexed="81"/>
            <rFont val="Tahoma"/>
            <family val="2"/>
          </rPr>
          <t xml:space="preserve"> 24,000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기초연금에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E74" authorId="0" shapeId="0" xr:uid="{E4D049EA-F1E6-49C5-85C1-FD8B07465609}">
      <text>
        <r>
          <rPr>
            <b/>
            <sz val="9"/>
            <color indexed="81"/>
            <rFont val="돋움"/>
            <family val="3"/>
            <charset val="129"/>
          </rPr>
          <t>보선생활비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</text>
    </comment>
    <comment ref="E75" authorId="0" shapeId="0" xr:uid="{ADD332F0-F2C2-4CBD-BE57-29AE261F8E3F}">
      <text>
        <r>
          <rPr>
            <b/>
            <sz val="9"/>
            <color indexed="81"/>
            <rFont val="돋움"/>
            <family val="3"/>
            <charset val="129"/>
          </rPr>
          <t>기본급</t>
        </r>
        <r>
          <rPr>
            <b/>
            <sz val="9"/>
            <color indexed="81"/>
            <rFont val="Tahoma"/>
            <family val="2"/>
          </rPr>
          <t xml:space="preserve"> 218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세후</t>
        </r>
        <r>
          <rPr>
            <b/>
            <sz val="9"/>
            <color indexed="81"/>
            <rFont val="Tahoma"/>
            <family val="2"/>
          </rPr>
          <t xml:space="preserve"> 196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건강보험</t>
        </r>
        <r>
          <rPr>
            <b/>
            <sz val="9"/>
            <color indexed="81"/>
            <rFont val="Tahoma"/>
            <family val="2"/>
          </rPr>
          <t xml:space="preserve"> 8%)
</t>
        </r>
        <r>
          <rPr>
            <b/>
            <sz val="9"/>
            <color indexed="81"/>
            <rFont val="돋움"/>
            <family val="3"/>
            <charset val="129"/>
          </rPr>
          <t>퇴직금추가</t>
        </r>
        <r>
          <rPr>
            <b/>
            <sz val="9"/>
            <color indexed="81"/>
            <rFont val="Tahoma"/>
            <family val="2"/>
          </rPr>
          <t xml:space="preserve"> : 210</t>
        </r>
        <r>
          <rPr>
            <b/>
            <sz val="9"/>
            <color indexed="81"/>
            <rFont val="돋움"/>
            <family val="3"/>
            <charset val="129"/>
          </rPr>
          <t>만
실증가액</t>
        </r>
        <r>
          <rPr>
            <b/>
            <sz val="9"/>
            <color indexed="81"/>
            <rFont val="Tahoma"/>
            <family val="2"/>
          </rPr>
          <t xml:space="preserve"> : 155</t>
        </r>
        <r>
          <rPr>
            <b/>
            <sz val="9"/>
            <color indexed="81"/>
            <rFont val="돋움"/>
            <family val="3"/>
            <charset val="129"/>
          </rPr>
          <t>만
추가경비</t>
        </r>
        <r>
          <rPr>
            <b/>
            <sz val="9"/>
            <color indexed="81"/>
            <rFont val="Tahoma"/>
            <family val="2"/>
          </rPr>
          <t xml:space="preserve"> : -55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
 - </t>
        </r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-45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유류비</t>
        </r>
        <r>
          <rPr>
            <b/>
            <sz val="9"/>
            <color indexed="81"/>
            <rFont val="Tahoma"/>
            <family val="2"/>
          </rPr>
          <t xml:space="preserve"> -22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건강보험</t>
        </r>
        <r>
          <rPr>
            <b/>
            <sz val="9"/>
            <color indexed="81"/>
            <rFont val="Tahoma"/>
            <family val="2"/>
          </rPr>
          <t xml:space="preserve"> +12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C79" authorId="0" shapeId="0" xr:uid="{46928D6A-88DD-478E-892F-0DAE32656F1B}">
      <text>
        <r>
          <rPr>
            <b/>
            <sz val="9"/>
            <color indexed="81"/>
            <rFont val="돋움"/>
            <family val="3"/>
            <charset val="129"/>
          </rPr>
          <t>아퍼트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시세와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연동필요
</t>
        </r>
        <r>
          <rPr>
            <b/>
            <sz val="9"/>
            <color indexed="81"/>
            <rFont val="Tahoma"/>
            <family val="2"/>
          </rPr>
          <t>- 7</t>
        </r>
        <r>
          <rPr>
            <b/>
            <sz val="9"/>
            <color indexed="81"/>
            <rFont val="돋움"/>
            <family val="3"/>
            <charset val="129"/>
          </rPr>
          <t>억으로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우선고려</t>
        </r>
      </text>
    </comment>
    <comment ref="E79" authorId="0" shapeId="0" xr:uid="{3A7B5BE7-FEDC-4D60-A42A-91F8D959B28B}">
      <text>
        <r>
          <rPr>
            <b/>
            <sz val="9"/>
            <color indexed="81"/>
            <rFont val="돋움"/>
            <family val="3"/>
            <charset val="129"/>
          </rPr>
          <t xml:space="preserve">재해사망시는
</t>
        </r>
        <r>
          <rPr>
            <b/>
            <sz val="9"/>
            <color indexed="81"/>
            <rFont val="Tahoma"/>
            <family val="2"/>
          </rPr>
          <t>3.5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G80" authorId="0" shapeId="0" xr:uid="{B20EF8E6-2568-4F0C-9153-40E76FB11CA6}">
      <text>
        <r>
          <rPr>
            <b/>
            <sz val="9"/>
            <color indexed="81"/>
            <rFont val="돋움"/>
            <family val="3"/>
            <charset val="129"/>
          </rPr>
          <t>관리비</t>
        </r>
        <r>
          <rPr>
            <b/>
            <sz val="9"/>
            <color indexed="81"/>
            <rFont val="Tahoma"/>
            <family val="2"/>
          </rPr>
          <t xml:space="preserve"> : 6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태희지급
주차비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정기권차잘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매</t>
        </r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개월단위로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계속사용하면
</t>
        </r>
        <r>
          <rPr>
            <b/>
            <sz val="9"/>
            <color indexed="81"/>
            <rFont val="Tahoma"/>
            <family val="2"/>
          </rPr>
          <t xml:space="preserve">    6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85" authorId="0" shapeId="0" xr:uid="{03B65077-C8FC-49A7-852B-94515573786E}">
      <text>
        <r>
          <rPr>
            <b/>
            <sz val="9"/>
            <color indexed="81"/>
            <rFont val="돋움"/>
            <family val="3"/>
            <charset val="129"/>
          </rPr>
          <t>세금제외
지하철 개통 : 28년말 예상
시티타워 착공 : 27년중 예상</t>
        </r>
      </text>
    </comment>
    <comment ref="F85" authorId="0" shapeId="0" xr:uid="{A13CD57E-197A-4593-B839-00ADCFD97FC5}">
      <text>
        <r>
          <rPr>
            <b/>
            <sz val="9"/>
            <color indexed="81"/>
            <rFont val="돋움"/>
            <family val="3"/>
            <charset val="129"/>
          </rPr>
          <t>지수투자금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상환</t>
        </r>
        <r>
          <rPr>
            <b/>
            <sz val="9"/>
            <color indexed="81"/>
            <rFont val="Tahoma"/>
            <family val="2"/>
          </rPr>
          <t xml:space="preserve">  -3,000</t>
        </r>
        <r>
          <rPr>
            <b/>
            <sz val="9"/>
            <color indexed="81"/>
            <rFont val="돋움"/>
            <family val="3"/>
            <charset val="129"/>
          </rPr>
          <t>만
지수애기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증여</t>
        </r>
        <r>
          <rPr>
            <b/>
            <sz val="9"/>
            <color indexed="81"/>
            <rFont val="Tahoma"/>
            <family val="2"/>
          </rPr>
          <t xml:space="preserve"> -5,000</t>
        </r>
        <r>
          <rPr>
            <b/>
            <sz val="9"/>
            <color indexed="81"/>
            <rFont val="돋움"/>
            <family val="3"/>
            <charset val="129"/>
          </rPr>
          <t>만
서연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증여</t>
        </r>
        <r>
          <rPr>
            <b/>
            <sz val="9"/>
            <color indexed="81"/>
            <rFont val="Tahoma"/>
            <family val="2"/>
          </rPr>
          <t xml:space="preserve"> -4,000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F90" authorId="0" shapeId="0" xr:uid="{41EEA611-E997-4538-9F3D-94D1DD8F4EB6}">
      <text>
        <r>
          <rPr>
            <b/>
            <sz val="9"/>
            <color indexed="81"/>
            <rFont val="돋움"/>
            <family val="3"/>
            <charset val="129"/>
          </rPr>
          <t>상가</t>
        </r>
        <r>
          <rPr>
            <b/>
            <sz val="9"/>
            <color indexed="81"/>
            <rFont val="Tahoma"/>
            <family val="2"/>
          </rPr>
          <t xml:space="preserve"> 120,000,000
   - </t>
        </r>
        <r>
          <rPr>
            <b/>
            <sz val="9"/>
            <color indexed="81"/>
            <rFont val="돋움"/>
            <family val="3"/>
            <charset val="129"/>
          </rPr>
          <t>지수</t>
        </r>
        <r>
          <rPr>
            <b/>
            <sz val="9"/>
            <color indexed="81"/>
            <rFont val="Tahoma"/>
            <family val="2"/>
          </rPr>
          <t xml:space="preserve"> 30,000,000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대동상속으로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대체
</t>
        </r>
        <r>
          <rPr>
            <b/>
            <sz val="9"/>
            <color indexed="81"/>
            <rFont val="Tahoma"/>
            <family val="2"/>
          </rPr>
          <t>KC</t>
        </r>
        <r>
          <rPr>
            <b/>
            <sz val="9"/>
            <color indexed="81"/>
            <rFont val="돋움"/>
            <family val="3"/>
            <charset val="129"/>
          </rPr>
          <t>보함대출</t>
        </r>
        <r>
          <rPr>
            <b/>
            <sz val="9"/>
            <color indexed="81"/>
            <rFont val="Tahoma"/>
            <family val="2"/>
          </rPr>
          <t xml:space="preserve"> : 50,000,000
</t>
        </r>
        <r>
          <rPr>
            <b/>
            <sz val="9"/>
            <color indexed="81"/>
            <rFont val="돋움"/>
            <family val="3"/>
            <charset val="129"/>
          </rPr>
          <t>장모님</t>
        </r>
        <r>
          <rPr>
            <b/>
            <sz val="9"/>
            <color indexed="81"/>
            <rFont val="Tahoma"/>
            <family val="2"/>
          </rPr>
          <t xml:space="preserve"> 15,000,000
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보험대출</t>
        </r>
        <r>
          <rPr>
            <b/>
            <sz val="9"/>
            <color indexed="81"/>
            <rFont val="Tahoma"/>
            <family val="2"/>
          </rPr>
          <t xml:space="preserve"> 60,000,000</t>
        </r>
      </text>
    </comment>
    <comment ref="E93" authorId="0" shapeId="0" xr:uid="{A3F05E85-B6AB-4CA0-89FA-FB020EBB2C7F}">
      <text>
        <r>
          <rPr>
            <b/>
            <sz val="9"/>
            <color indexed="81"/>
            <rFont val="돋움"/>
            <family val="3"/>
            <charset val="129"/>
          </rPr>
          <t>주택연금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대출금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누적지급금으로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</t>
        </r>
      </text>
    </comment>
    <comment ref="G96" authorId="0" shapeId="0" xr:uid="{6DC303EF-438E-488D-8AFA-3E2E94E2B00E}">
      <text>
        <r>
          <rPr>
            <sz val="9"/>
            <color indexed="81"/>
            <rFont val="돋움"/>
            <family val="3"/>
            <charset val="129"/>
          </rPr>
          <t>웅진코웨이</t>
        </r>
        <r>
          <rPr>
            <sz val="9"/>
            <color indexed="81"/>
            <rFont val="Tahoma"/>
            <family val="2"/>
          </rPr>
          <t xml:space="preserve"> : 26/5/4 </t>
        </r>
        <r>
          <rPr>
            <sz val="9"/>
            <color indexed="81"/>
            <rFont val="돋움"/>
            <family val="3"/>
            <charset val="129"/>
          </rPr>
          <t>신규국민카드로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고객센터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통화
</t>
        </r>
        <r>
          <rPr>
            <u/>
            <sz val="9"/>
            <color indexed="81"/>
            <rFont val="돋움"/>
            <family val="3"/>
            <charset val="129"/>
          </rPr>
          <t xml:space="preserve">
사용료</t>
        </r>
        <r>
          <rPr>
            <u/>
            <sz val="9"/>
            <color indexed="81"/>
            <rFont val="Tahoma"/>
            <family val="2"/>
          </rPr>
          <t xml:space="preserve"> : -26.5</t>
        </r>
        <r>
          <rPr>
            <u/>
            <sz val="9"/>
            <color indexed="81"/>
            <rFont val="돋움"/>
            <family val="3"/>
            <charset val="129"/>
          </rPr>
          <t>월</t>
        </r>
        <r>
          <rPr>
            <u/>
            <sz val="9"/>
            <color indexed="81"/>
            <rFont val="Tahoma"/>
            <family val="2"/>
          </rPr>
          <t xml:space="preserve"> 64,210 / 26.6</t>
        </r>
        <r>
          <rPr>
            <u/>
            <sz val="9"/>
            <color indexed="81"/>
            <rFont val="돋움"/>
            <family val="3"/>
            <charset val="129"/>
          </rPr>
          <t>월부터</t>
        </r>
        <r>
          <rPr>
            <u/>
            <sz val="9"/>
            <color indexed="81"/>
            <rFont val="Tahoma"/>
            <family val="2"/>
          </rPr>
          <t xml:space="preserve"> 81,490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정수기</t>
        </r>
        <r>
          <rPr>
            <sz val="9"/>
            <color indexed="81"/>
            <rFont val="Tahoma"/>
            <family val="2"/>
          </rPr>
          <t xml:space="preserve"> 28,600
 - </t>
        </r>
        <r>
          <rPr>
            <sz val="9"/>
            <color indexed="81"/>
            <rFont val="돋움"/>
            <family val="3"/>
            <charset val="129"/>
          </rPr>
          <t>공기청정기</t>
        </r>
        <r>
          <rPr>
            <sz val="9"/>
            <color indexed="81"/>
            <rFont val="Tahoma"/>
            <family val="2"/>
          </rPr>
          <t xml:space="preserve"> 31,710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) 18,900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) 17,280 (26.2-5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면제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</t>
        </r>
        <r>
          <rPr>
            <sz val="9"/>
            <color indexed="81"/>
            <rFont val="Tahoma"/>
            <family val="2"/>
          </rPr>
          <t xml:space="preserve">)
 - </t>
        </r>
        <r>
          <rPr>
            <sz val="9"/>
            <color indexed="81"/>
            <rFont val="돋움"/>
            <family val="3"/>
            <charset val="129"/>
          </rPr>
          <t>제휴카드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감면</t>
        </r>
        <r>
          <rPr>
            <sz val="9"/>
            <color indexed="81"/>
            <rFont val="Tahoma"/>
            <family val="2"/>
          </rPr>
          <t xml:space="preserve"> -15,000
</t>
        </r>
      </text>
    </comment>
    <comment ref="C97" authorId="0" shapeId="0" xr:uid="{FC135ADC-067B-408F-A647-5ACE4777E4E1}">
      <text>
        <r>
          <rPr>
            <b/>
            <sz val="9"/>
            <color indexed="81"/>
            <rFont val="돋움"/>
            <family val="3"/>
            <charset val="129"/>
          </rPr>
          <t>타이어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
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인테리어
시스템에어컨설치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냉난방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가구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전자제품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</text>
    </comment>
    <comment ref="E98" authorId="0" shapeId="0" xr:uid="{2CAC2497-726A-4CB6-AF3C-CD7D76ED1704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부부가구 감액 : 0%
금액인상 / 하후상박 적용가능 : 수령액 인상
 : 년1% 인상으로 고려함</t>
        </r>
      </text>
    </comment>
    <comment ref="C100" authorId="0" shapeId="0" xr:uid="{814CE7F5-1EB6-450E-B2C1-361048488AA8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위해총액관리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애들에게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생활비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등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이경우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이자금액은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감소할것임</t>
        </r>
      </text>
    </comment>
    <comment ref="E100" authorId="0" shapeId="0" xr:uid="{C9B74364-66A4-4934-8DBA-B754221E15E4}">
      <text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</text>
    </comment>
    <comment ref="C102" authorId="0" shapeId="0" xr:uid="{BF6FAF3F-98E0-4AFC-857C-7A04DF829AA0}">
      <text>
        <r>
          <rPr>
            <b/>
            <sz val="9"/>
            <color indexed="81"/>
            <rFont val="돋움"/>
            <family val="3"/>
            <charset val="129"/>
          </rPr>
          <t>재해사망시는</t>
        </r>
        <r>
          <rPr>
            <b/>
            <sz val="9"/>
            <color indexed="81"/>
            <rFont val="Tahoma"/>
            <family val="2"/>
          </rPr>
          <t xml:space="preserve"> 3.5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C103" authorId="0" shapeId="0" xr:uid="{541CF77B-36D7-468C-8BFF-640C52DBA686}">
      <text>
        <r>
          <rPr>
            <b/>
            <sz val="9"/>
            <color indexed="81"/>
            <rFont val="돋움"/>
            <family val="3"/>
            <charset val="129"/>
          </rPr>
          <t>아퍼트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시세와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연동필요
</t>
        </r>
        <r>
          <rPr>
            <b/>
            <sz val="9"/>
            <color indexed="81"/>
            <rFont val="Tahoma"/>
            <family val="2"/>
          </rPr>
          <t>- 7</t>
        </r>
        <r>
          <rPr>
            <b/>
            <sz val="9"/>
            <color indexed="81"/>
            <rFont val="돋움"/>
            <family val="3"/>
            <charset val="129"/>
          </rPr>
          <t>억으로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우선고려</t>
        </r>
      </text>
    </comment>
    <comment ref="C104" authorId="0" shapeId="0" xr:uid="{03C27ED8-2462-49DA-8F88-6C75D60E65F8}">
      <text>
        <r>
          <rPr>
            <b/>
            <sz val="9"/>
            <color indexed="81"/>
            <rFont val="돋움"/>
            <family val="3"/>
            <charset val="129"/>
          </rPr>
          <t>재해사망시는</t>
        </r>
        <r>
          <rPr>
            <b/>
            <sz val="9"/>
            <color indexed="81"/>
            <rFont val="Tahoma"/>
            <family val="2"/>
          </rPr>
          <t xml:space="preserve"> 3.5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D104" authorId="0" shapeId="0" xr:uid="{E0C16FF9-D0A3-4EE0-BDD3-4D3140F8D70E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금융소득</t>
        </r>
        <r>
          <rPr>
            <b/>
            <sz val="9"/>
            <color indexed="81"/>
            <rFont val="Tahoma"/>
            <family val="2"/>
          </rPr>
          <t xml:space="preserve"> 2,000</t>
        </r>
        <r>
          <rPr>
            <b/>
            <sz val="9"/>
            <color indexed="81"/>
            <rFont val="돋움"/>
            <family val="3"/>
            <charset val="129"/>
          </rPr>
          <t>먼원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제외됨</t>
        </r>
        <r>
          <rPr>
            <sz val="9"/>
            <color indexed="81"/>
            <rFont val="Tahoma"/>
            <family val="2"/>
          </rPr>
          <t xml:space="preserve">
 - </t>
        </r>
        <r>
          <rPr>
            <sz val="9"/>
            <color indexed="81"/>
            <rFont val="돋움"/>
            <family val="3"/>
            <charset val="129"/>
          </rPr>
          <t>이자율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4%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예금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
주택연금은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대출이자를
금융소득에서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있으나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안전하게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현금예금은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미만으로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E107" authorId="0" shapeId="0" xr:uid="{F2D68FDD-7203-41EA-9FFA-CD482CBAEA7D}">
      <text>
        <r>
          <rPr>
            <b/>
            <sz val="9"/>
            <color indexed="81"/>
            <rFont val="돋움"/>
            <family val="3"/>
            <charset val="129"/>
          </rPr>
          <t>주택연금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대출금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누적지급금으로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</t>
        </r>
      </text>
    </comment>
    <comment ref="G110" authorId="0" shapeId="0" xr:uid="{BCF43FD1-A122-4D65-9397-86FA7DAED997}">
      <text>
        <r>
          <rPr>
            <sz val="9"/>
            <color indexed="81"/>
            <rFont val="돋움"/>
            <family val="3"/>
            <charset val="129"/>
          </rPr>
          <t>웅진코웨이</t>
        </r>
        <r>
          <rPr>
            <sz val="9"/>
            <color indexed="81"/>
            <rFont val="Tahoma"/>
            <family val="2"/>
          </rPr>
          <t xml:space="preserve"> : 26/5/4 </t>
        </r>
        <r>
          <rPr>
            <sz val="9"/>
            <color indexed="81"/>
            <rFont val="돋움"/>
            <family val="3"/>
            <charset val="129"/>
          </rPr>
          <t>신규국민카드로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고객센터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통화
</t>
        </r>
        <r>
          <rPr>
            <u/>
            <sz val="9"/>
            <color indexed="81"/>
            <rFont val="돋움"/>
            <family val="3"/>
            <charset val="129"/>
          </rPr>
          <t xml:space="preserve">
사용료</t>
        </r>
        <r>
          <rPr>
            <u/>
            <sz val="9"/>
            <color indexed="81"/>
            <rFont val="Tahoma"/>
            <family val="2"/>
          </rPr>
          <t xml:space="preserve"> : -26.5</t>
        </r>
        <r>
          <rPr>
            <u/>
            <sz val="9"/>
            <color indexed="81"/>
            <rFont val="돋움"/>
            <family val="3"/>
            <charset val="129"/>
          </rPr>
          <t>월</t>
        </r>
        <r>
          <rPr>
            <u/>
            <sz val="9"/>
            <color indexed="81"/>
            <rFont val="Tahoma"/>
            <family val="2"/>
          </rPr>
          <t xml:space="preserve"> 64,210 / 26.6</t>
        </r>
        <r>
          <rPr>
            <u/>
            <sz val="9"/>
            <color indexed="81"/>
            <rFont val="돋움"/>
            <family val="3"/>
            <charset val="129"/>
          </rPr>
          <t>월부터</t>
        </r>
        <r>
          <rPr>
            <u/>
            <sz val="9"/>
            <color indexed="81"/>
            <rFont val="Tahoma"/>
            <family val="2"/>
          </rPr>
          <t xml:space="preserve"> 81,490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정수기</t>
        </r>
        <r>
          <rPr>
            <sz val="9"/>
            <color indexed="81"/>
            <rFont val="Tahoma"/>
            <family val="2"/>
          </rPr>
          <t xml:space="preserve"> 28,600
 - </t>
        </r>
        <r>
          <rPr>
            <sz val="9"/>
            <color indexed="81"/>
            <rFont val="돋움"/>
            <family val="3"/>
            <charset val="129"/>
          </rPr>
          <t>공기청정기</t>
        </r>
        <r>
          <rPr>
            <sz val="9"/>
            <color indexed="81"/>
            <rFont val="Tahoma"/>
            <family val="2"/>
          </rPr>
          <t xml:space="preserve"> 31,710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) 18,900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) 17,280 (26.2-5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면제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</t>
        </r>
        <r>
          <rPr>
            <sz val="9"/>
            <color indexed="81"/>
            <rFont val="Tahoma"/>
            <family val="2"/>
          </rPr>
          <t xml:space="preserve">)
 - </t>
        </r>
        <r>
          <rPr>
            <sz val="9"/>
            <color indexed="81"/>
            <rFont val="돋움"/>
            <family val="3"/>
            <charset val="129"/>
          </rPr>
          <t>제휴카드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감면</t>
        </r>
        <r>
          <rPr>
            <sz val="9"/>
            <color indexed="81"/>
            <rFont val="Tahoma"/>
            <family val="2"/>
          </rPr>
          <t xml:space="preserve"> -15,000
</t>
        </r>
      </text>
    </comment>
    <comment ref="E112" authorId="0" shapeId="0" xr:uid="{048D767C-29A0-41E4-86A7-F51B4E1C8A84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부부가구 감액 : 0%
금액인상 / 하후상박 적용가능 : 수령액 인상
 : 년1% 인상으로 고려함</t>
        </r>
      </text>
    </comment>
    <comment ref="C114" authorId="0" shapeId="0" xr:uid="{CE75CF62-C8F1-450D-A92F-92484805475A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위해총액관리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애들에게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생활비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등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이경우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이자금액은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감소할것임</t>
        </r>
      </text>
    </comment>
    <comment ref="E114" authorId="0" shapeId="0" xr:uid="{D4DAA7FB-8263-47C7-AF70-BE234988A7F1}">
      <text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</text>
    </comment>
    <comment ref="C116" authorId="0" shapeId="0" xr:uid="{87E23D68-8AAF-4E7F-A42D-FA61342F0BA5}">
      <text>
        <r>
          <rPr>
            <b/>
            <sz val="9"/>
            <color indexed="81"/>
            <rFont val="돋움"/>
            <family val="3"/>
            <charset val="129"/>
          </rPr>
          <t>재해사망시는</t>
        </r>
        <r>
          <rPr>
            <b/>
            <sz val="9"/>
            <color indexed="81"/>
            <rFont val="Tahoma"/>
            <family val="2"/>
          </rPr>
          <t xml:space="preserve"> 3.5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C117" authorId="0" shapeId="0" xr:uid="{12BEDF06-8CA2-4ED7-8B33-E6BD753FE9B7}">
      <text>
        <r>
          <rPr>
            <b/>
            <sz val="9"/>
            <color indexed="81"/>
            <rFont val="돋움"/>
            <family val="3"/>
            <charset val="129"/>
          </rPr>
          <t>아퍼트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시세와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연동필요
</t>
        </r>
        <r>
          <rPr>
            <b/>
            <sz val="9"/>
            <color indexed="81"/>
            <rFont val="Tahoma"/>
            <family val="2"/>
          </rPr>
          <t>- 7</t>
        </r>
        <r>
          <rPr>
            <b/>
            <sz val="9"/>
            <color indexed="81"/>
            <rFont val="돋움"/>
            <family val="3"/>
            <charset val="129"/>
          </rPr>
          <t>억으로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우선고려</t>
        </r>
      </text>
    </comment>
    <comment ref="C118" authorId="0" shapeId="0" xr:uid="{3B0F96A2-BB17-4748-8EBA-52C272CA44FF}">
      <text>
        <r>
          <rPr>
            <b/>
            <sz val="9"/>
            <color indexed="81"/>
            <rFont val="돋움"/>
            <family val="3"/>
            <charset val="129"/>
          </rPr>
          <t>재해사망시는</t>
        </r>
        <r>
          <rPr>
            <b/>
            <sz val="9"/>
            <color indexed="81"/>
            <rFont val="Tahoma"/>
            <family val="2"/>
          </rPr>
          <t xml:space="preserve"> 3.5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D118" authorId="0" shapeId="0" xr:uid="{A3FBCA6C-247B-4187-BB5B-D2253A434DA8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금융소득</t>
        </r>
        <r>
          <rPr>
            <b/>
            <sz val="9"/>
            <color indexed="81"/>
            <rFont val="Tahoma"/>
            <family val="2"/>
          </rPr>
          <t xml:space="preserve"> 2,000</t>
        </r>
        <r>
          <rPr>
            <b/>
            <sz val="9"/>
            <color indexed="81"/>
            <rFont val="돋움"/>
            <family val="3"/>
            <charset val="129"/>
          </rPr>
          <t>먼원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제외됨</t>
        </r>
        <r>
          <rPr>
            <sz val="9"/>
            <color indexed="81"/>
            <rFont val="Tahoma"/>
            <family val="2"/>
          </rPr>
          <t xml:space="preserve">
 - </t>
        </r>
        <r>
          <rPr>
            <sz val="9"/>
            <color indexed="81"/>
            <rFont val="돋움"/>
            <family val="3"/>
            <charset val="129"/>
          </rPr>
          <t>이자율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4%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예금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
주택연금은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대출이자를
금융소득에서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있으나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안전하게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현금예금은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미만으로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E121" authorId="0" shapeId="0" xr:uid="{CBCA17BA-78F8-4B97-B892-5D329C128AA1}">
      <text>
        <r>
          <rPr>
            <b/>
            <sz val="9"/>
            <color indexed="81"/>
            <rFont val="돋움"/>
            <family val="3"/>
            <charset val="129"/>
          </rPr>
          <t>주택연금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대출금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누적지급금으로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</t>
        </r>
      </text>
    </comment>
    <comment ref="E126" authorId="0" shapeId="0" xr:uid="{47DE852D-9BFC-42BC-8279-EACA88D4BA92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부부가구 감액 : 0%
금액인상 / 하후상박 적용가능 : 수령액 인상
 : 년1% 인상으로 고려함</t>
        </r>
      </text>
    </comment>
    <comment ref="C127" authorId="0" shapeId="0" xr:uid="{635EB3CD-B505-4956-8308-5AE9810118E9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위해총액관리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애들에게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생활비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등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이경우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이자금액은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감소할것임
이자수입</t>
        </r>
        <r>
          <rPr>
            <b/>
            <sz val="9"/>
            <color indexed="81"/>
            <rFont val="Tahoma"/>
            <family val="2"/>
          </rPr>
          <t xml:space="preserve"> : 2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예금으로만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</t>
        </r>
      </text>
    </comment>
    <comment ref="D131" authorId="0" shapeId="0" xr:uid="{593F7E54-C9CB-4B24-850A-A6C5D10D57D4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금융소득</t>
        </r>
        <r>
          <rPr>
            <b/>
            <sz val="9"/>
            <color indexed="81"/>
            <rFont val="Tahoma"/>
            <family val="2"/>
          </rPr>
          <t xml:space="preserve"> 2,000</t>
        </r>
        <r>
          <rPr>
            <b/>
            <sz val="9"/>
            <color indexed="81"/>
            <rFont val="돋움"/>
            <family val="3"/>
            <charset val="129"/>
          </rPr>
          <t>먼원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제외됨</t>
        </r>
        <r>
          <rPr>
            <sz val="9"/>
            <color indexed="81"/>
            <rFont val="Tahoma"/>
            <family val="2"/>
          </rPr>
          <t xml:space="preserve">
 - </t>
        </r>
        <r>
          <rPr>
            <sz val="9"/>
            <color indexed="81"/>
            <rFont val="돋움"/>
            <family val="3"/>
            <charset val="129"/>
          </rPr>
          <t>이자율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4%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예금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
주택연금은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대출이자를
금융소득에서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있으나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안전하게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현금예금은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미만으로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E134" authorId="0" shapeId="0" xr:uid="{AE2150DB-76B6-47AB-B7B8-D14713333BE4}">
      <text>
        <r>
          <rPr>
            <b/>
            <sz val="9"/>
            <color indexed="81"/>
            <rFont val="돋움"/>
            <family val="3"/>
            <charset val="129"/>
          </rPr>
          <t>주택연금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대출금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누적지급금으로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</t>
        </r>
      </text>
    </comment>
    <comment ref="E139" authorId="0" shapeId="0" xr:uid="{995645A3-55AA-48D2-904D-C55939C6F4E2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부부가구 감액 : 0%
금액인상 / 하후상박 적용가능 : 수령액 인상
 : 년1% 인상으로 고려함</t>
        </r>
      </text>
    </comment>
    <comment ref="C140" authorId="0" shapeId="0" xr:uid="{36A3BD1E-6D71-42BE-8BD4-F940E19E8F68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위해총액관리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애들에게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생활비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등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이경우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이자금액은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감소할것임
이자수입</t>
        </r>
        <r>
          <rPr>
            <b/>
            <sz val="9"/>
            <color indexed="81"/>
            <rFont val="Tahoma"/>
            <family val="2"/>
          </rPr>
          <t xml:space="preserve"> : 2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예금으로만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</t>
        </r>
      </text>
    </comment>
    <comment ref="D144" authorId="0" shapeId="0" xr:uid="{4251661E-310B-4107-BC45-9F16C64C5F40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금융소득</t>
        </r>
        <r>
          <rPr>
            <b/>
            <sz val="9"/>
            <color indexed="81"/>
            <rFont val="Tahoma"/>
            <family val="2"/>
          </rPr>
          <t xml:space="preserve"> 2,000</t>
        </r>
        <r>
          <rPr>
            <b/>
            <sz val="9"/>
            <color indexed="81"/>
            <rFont val="돋움"/>
            <family val="3"/>
            <charset val="129"/>
          </rPr>
          <t>먼원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제외됨</t>
        </r>
        <r>
          <rPr>
            <sz val="9"/>
            <color indexed="81"/>
            <rFont val="Tahoma"/>
            <family val="2"/>
          </rPr>
          <t xml:space="preserve">
 - </t>
        </r>
        <r>
          <rPr>
            <sz val="9"/>
            <color indexed="81"/>
            <rFont val="돋움"/>
            <family val="3"/>
            <charset val="129"/>
          </rPr>
          <t>이자율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4%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예금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
주택연금은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대출이자를
금융소득에서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있으나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안전하게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현금예금은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미만으로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E147" authorId="0" shapeId="0" xr:uid="{BCC65DE6-5D26-4B86-9BEB-232ACEDB95D4}">
      <text>
        <r>
          <rPr>
            <b/>
            <sz val="9"/>
            <color indexed="81"/>
            <rFont val="돋움"/>
            <family val="3"/>
            <charset val="129"/>
          </rPr>
          <t>주택연금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대출금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누적지급금으로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</t>
        </r>
      </text>
    </comment>
    <comment ref="E152" authorId="0" shapeId="0" xr:uid="{04B70EEA-26B8-4122-95A3-7643EEFE943F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부부가구 감액 : 0%
금액인상 / 하후상박 적용가능 : 수령액 인상
 : 년1% 인상으로 고려함</t>
        </r>
      </text>
    </comment>
    <comment ref="C153" authorId="0" shapeId="0" xr:uid="{44E507A9-98A1-4894-8B5C-7782912BF65E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위해총액관리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애들에게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생활비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등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이경우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이자금액은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감소할것임
이자수입</t>
        </r>
        <r>
          <rPr>
            <b/>
            <sz val="9"/>
            <color indexed="81"/>
            <rFont val="Tahoma"/>
            <family val="2"/>
          </rPr>
          <t xml:space="preserve"> : 2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예금으로만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</t>
        </r>
      </text>
    </comment>
    <comment ref="D157" authorId="0" shapeId="0" xr:uid="{171C4455-34FA-4B70-81F8-73DAC91F525A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금융소득</t>
        </r>
        <r>
          <rPr>
            <b/>
            <sz val="9"/>
            <color indexed="81"/>
            <rFont val="Tahoma"/>
            <family val="2"/>
          </rPr>
          <t xml:space="preserve"> 2,000</t>
        </r>
        <r>
          <rPr>
            <b/>
            <sz val="9"/>
            <color indexed="81"/>
            <rFont val="돋움"/>
            <family val="3"/>
            <charset val="129"/>
          </rPr>
          <t>먼원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제외됨</t>
        </r>
        <r>
          <rPr>
            <sz val="9"/>
            <color indexed="81"/>
            <rFont val="Tahoma"/>
            <family val="2"/>
          </rPr>
          <t xml:space="preserve">
 - </t>
        </r>
        <r>
          <rPr>
            <sz val="9"/>
            <color indexed="81"/>
            <rFont val="돋움"/>
            <family val="3"/>
            <charset val="129"/>
          </rPr>
          <t>이자율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4%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예금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
주택연금은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대출이자를
금융소득에서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있으나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안전하게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현금예금은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미만으로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C19" authorId="0" shapeId="0" xr:uid="{C47052BE-1EE8-42AE-8E69-36FAB1FC667A}">
      <text>
        <r>
          <rPr>
            <b/>
            <sz val="9"/>
            <color indexed="81"/>
            <rFont val="Tahoma"/>
            <family val="2"/>
          </rPr>
          <t xml:space="preserve">12/19 </t>
        </r>
        <r>
          <rPr>
            <b/>
            <sz val="9"/>
            <color indexed="81"/>
            <rFont val="돋움"/>
            <family val="3"/>
            <charset val="129"/>
          </rPr>
          <t>가용잔액</t>
        </r>
        <r>
          <rPr>
            <b/>
            <sz val="9"/>
            <color indexed="81"/>
            <rFont val="Tahoma"/>
            <family val="2"/>
          </rPr>
          <t xml:space="preserve"> : 1,700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KC</t>
        </r>
        <r>
          <rPr>
            <b/>
            <sz val="9"/>
            <color indexed="81"/>
            <rFont val="돋움"/>
            <family val="3"/>
            <charset val="129"/>
          </rPr>
          <t>정리금</t>
        </r>
        <r>
          <rPr>
            <b/>
            <sz val="9"/>
            <color indexed="81"/>
            <rFont val="Tahoma"/>
            <family val="2"/>
          </rPr>
          <t xml:space="preserve"> 5,500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   + </t>
        </r>
        <r>
          <rPr>
            <b/>
            <sz val="9"/>
            <color indexed="81"/>
            <rFont val="돋움"/>
            <family val="3"/>
            <charset val="129"/>
          </rPr>
          <t>기존잔금</t>
        </r>
        <r>
          <rPr>
            <b/>
            <sz val="9"/>
            <color indexed="81"/>
            <rFont val="Tahoma"/>
            <family val="2"/>
          </rPr>
          <t xml:space="preserve"> : 2,200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장모님</t>
        </r>
        <r>
          <rPr>
            <b/>
            <sz val="9"/>
            <color indexed="81"/>
            <rFont val="Tahoma"/>
            <family val="2"/>
          </rPr>
          <t xml:space="preserve"> 1,500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)
 - 12/18 </t>
        </r>
        <r>
          <rPr>
            <b/>
            <sz val="9"/>
            <color indexed="81"/>
            <rFont val="돋움"/>
            <family val="3"/>
            <charset val="129"/>
          </rPr>
          <t>보험대출상환</t>
        </r>
        <r>
          <rPr>
            <b/>
            <sz val="9"/>
            <color indexed="81"/>
            <rFont val="Tahoma"/>
            <family val="2"/>
          </rPr>
          <t xml:space="preserve"> -5,000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전액</t>
        </r>
        <r>
          <rPr>
            <b/>
            <sz val="9"/>
            <color indexed="81"/>
            <rFont val="Tahoma"/>
            <family val="2"/>
          </rPr>
          <t xml:space="preserve">)
 - </t>
        </r>
        <r>
          <rPr>
            <b/>
            <sz val="9"/>
            <color indexed="81"/>
            <rFont val="돋움"/>
            <family val="3"/>
            <charset val="129"/>
          </rPr>
          <t>법인용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개인카드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상환용</t>
        </r>
        <r>
          <rPr>
            <b/>
            <sz val="9"/>
            <color indexed="81"/>
            <rFont val="Tahoma"/>
            <family val="2"/>
          </rPr>
          <t xml:space="preserve"> -850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경희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카드할부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상환용</t>
        </r>
        <r>
          <rPr>
            <b/>
            <sz val="9"/>
            <color indexed="81"/>
            <rFont val="Tahoma"/>
            <family val="2"/>
          </rPr>
          <t xml:space="preserve"> -150</t>
        </r>
        <r>
          <rPr>
            <b/>
            <sz val="9"/>
            <color indexed="81"/>
            <rFont val="돋움"/>
            <family val="3"/>
            <charset val="129"/>
          </rPr>
          <t>만
주식투자잔액</t>
        </r>
        <r>
          <rPr>
            <b/>
            <sz val="9"/>
            <color indexed="81"/>
            <rFont val="Tahoma"/>
            <family val="2"/>
          </rPr>
          <t xml:space="preserve"> : 1,000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경희모름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실잔액</t>
        </r>
        <r>
          <rPr>
            <b/>
            <sz val="9"/>
            <color indexed="81"/>
            <rFont val="Tahoma"/>
            <family val="2"/>
          </rPr>
          <t xml:space="preserve"> : 2,940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1/27 </t>
        </r>
        <r>
          <rPr>
            <b/>
            <sz val="9"/>
            <color indexed="81"/>
            <rFont val="돋움"/>
            <family val="3"/>
            <charset val="129"/>
          </rPr>
          <t>주식수익금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이체</t>
        </r>
        <r>
          <rPr>
            <b/>
            <sz val="9"/>
            <color indexed="81"/>
            <rFont val="Tahoma"/>
            <family val="2"/>
          </rPr>
          <t xml:space="preserve"> 4,000,000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>520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수익중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갑철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옷구매</t>
        </r>
        <r>
          <rPr>
            <b/>
            <sz val="9"/>
            <color indexed="81"/>
            <rFont val="Tahoma"/>
            <family val="2"/>
          </rPr>
          <t xml:space="preserve"> 120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제외
</t>
        </r>
      </text>
    </comment>
    <comment ref="C20" authorId="0" shapeId="0" xr:uid="{6E8A83AA-22D3-4C76-AC2F-9F3A0D61DF40}">
      <text>
        <r>
          <rPr>
            <b/>
            <sz val="9"/>
            <color indexed="81"/>
            <rFont val="Tahoma"/>
            <family val="2"/>
          </rPr>
          <t>25/12/17 5,500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경희</t>
        </r>
        <r>
          <rPr>
            <b/>
            <sz val="9"/>
            <color indexed="81"/>
            <rFont val="Tahoma"/>
            <family val="2"/>
          </rPr>
          <t>)
+</t>
        </r>
        <r>
          <rPr>
            <b/>
            <sz val="9"/>
            <color indexed="81"/>
            <rFont val="돋움"/>
            <family val="3"/>
            <charset val="129"/>
          </rPr>
          <t>주식계좌</t>
        </r>
        <r>
          <rPr>
            <b/>
            <sz val="9"/>
            <color indexed="81"/>
            <rFont val="Tahoma"/>
            <family val="2"/>
          </rPr>
          <t xml:space="preserve"> 1,300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(200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손실</t>
        </r>
        <r>
          <rPr>
            <b/>
            <sz val="9"/>
            <color indexed="81"/>
            <rFont val="Tahoma"/>
            <family val="2"/>
          </rPr>
          <t xml:space="preserve">)
26/1/7 </t>
        </r>
        <r>
          <rPr>
            <b/>
            <sz val="9"/>
            <color indexed="81"/>
            <rFont val="돋움"/>
            <family val="3"/>
            <charset val="129"/>
          </rPr>
          <t>주식투자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: 3,200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정리잔금</t>
        </r>
        <r>
          <rPr>
            <b/>
            <sz val="9"/>
            <color indexed="81"/>
            <rFont val="Tahoma"/>
            <family val="2"/>
          </rPr>
          <t xml:space="preserve"> 1,300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경희계좌</t>
        </r>
        <r>
          <rPr>
            <b/>
            <sz val="9"/>
            <color indexed="81"/>
            <rFont val="Tahoma"/>
            <family val="2"/>
          </rPr>
          <t xml:space="preserve"> 1,000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보함대출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갑철</t>
        </r>
        <r>
          <rPr>
            <b/>
            <sz val="9"/>
            <color indexed="81"/>
            <rFont val="Tahoma"/>
            <family val="2"/>
          </rPr>
          <t>) 900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>937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23" authorId="0" shapeId="0" xr:uid="{BA2F6CBA-FB8A-4AB2-ACBD-191632CB42B0}">
      <text>
        <r>
          <rPr>
            <b/>
            <sz val="9"/>
            <color indexed="81"/>
            <rFont val="돋움"/>
            <family val="3"/>
            <charset val="129"/>
          </rPr>
          <t>기본급</t>
        </r>
        <r>
          <rPr>
            <b/>
            <sz val="9"/>
            <color indexed="81"/>
            <rFont val="Tahoma"/>
            <family val="2"/>
          </rPr>
          <t xml:space="preserve"> 250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잔업</t>
        </r>
        <r>
          <rPr>
            <b/>
            <sz val="9"/>
            <color indexed="81"/>
            <rFont val="Tahoma"/>
            <family val="2"/>
          </rPr>
          <t xml:space="preserve"> 33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식대</t>
        </r>
        <r>
          <rPr>
            <b/>
            <sz val="9"/>
            <color indexed="81"/>
            <rFont val="Tahoma"/>
            <family val="2"/>
          </rPr>
          <t xml:space="preserve"> -10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</t>
        </r>
      </text>
    </comment>
    <comment ref="C24" authorId="0" shapeId="0" xr:uid="{C037FE54-EF40-4098-BA69-CD73C2E8089D}">
      <text>
        <r>
          <rPr>
            <b/>
            <sz val="9"/>
            <color indexed="81"/>
            <rFont val="Tahoma"/>
            <family val="2"/>
          </rPr>
          <t xml:space="preserve">26/1/6 </t>
        </r>
        <r>
          <rPr>
            <b/>
            <sz val="9"/>
            <color indexed="81"/>
            <rFont val="돋움"/>
            <family val="3"/>
            <charset val="129"/>
          </rPr>
          <t>갑철보험</t>
        </r>
        <r>
          <rPr>
            <b/>
            <sz val="9"/>
            <color indexed="81"/>
            <rFont val="Tahoma"/>
            <family val="2"/>
          </rPr>
          <t xml:space="preserve"> 937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대출진행</t>
        </r>
        <r>
          <rPr>
            <b/>
            <sz val="9"/>
            <color indexed="81"/>
            <rFont val="Tahoma"/>
            <family val="2"/>
          </rPr>
          <t xml:space="preserve">(4.0%)
 - </t>
        </r>
        <r>
          <rPr>
            <b/>
            <sz val="9"/>
            <color indexed="81"/>
            <rFont val="돋움"/>
            <family val="3"/>
            <charset val="129"/>
          </rPr>
          <t>삼성전자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하이닉스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주식투자
현금부족시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돋움"/>
            <family val="3"/>
            <charset val="129"/>
          </rPr>
          <t>대출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진행필요</t>
        </r>
      </text>
    </comment>
    <comment ref="G24" authorId="0" shapeId="0" xr:uid="{F6A26C6D-BCC2-443B-8215-FCE560F09C88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월말</t>
        </r>
        <r>
          <rPr>
            <b/>
            <sz val="9"/>
            <color indexed="81"/>
            <rFont val="Tahoma"/>
            <family val="2"/>
          </rPr>
          <t xml:space="preserve"> 60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납부</t>
        </r>
      </text>
    </comment>
    <comment ref="E25" authorId="0" shapeId="0" xr:uid="{D4022049-395D-4181-A313-8EDC3E6ABC4F}">
      <text>
        <r>
          <rPr>
            <b/>
            <sz val="9"/>
            <color indexed="81"/>
            <rFont val="Tahoma"/>
            <family val="2"/>
          </rPr>
          <t xml:space="preserve">26/1/7 </t>
        </r>
        <r>
          <rPr>
            <b/>
            <sz val="9"/>
            <color indexed="81"/>
            <rFont val="돋움"/>
            <family val="3"/>
            <charset val="129"/>
          </rPr>
          <t>주식투자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: 3,200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정리잔금</t>
        </r>
        <r>
          <rPr>
            <b/>
            <sz val="9"/>
            <color indexed="81"/>
            <rFont val="Tahoma"/>
            <family val="2"/>
          </rPr>
          <t xml:space="preserve"> 1,300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경희계좌</t>
        </r>
        <r>
          <rPr>
            <b/>
            <sz val="9"/>
            <color indexed="81"/>
            <rFont val="Tahoma"/>
            <family val="2"/>
          </rPr>
          <t xml:space="preserve"> 1,000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보함대출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갑철</t>
        </r>
        <r>
          <rPr>
            <b/>
            <sz val="9"/>
            <color indexed="81"/>
            <rFont val="Tahoma"/>
            <family val="2"/>
          </rPr>
          <t>) 900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>937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</t>
        </r>
        <r>
          <rPr>
            <b/>
            <sz val="9"/>
            <color indexed="81"/>
            <rFont val="Tahoma"/>
            <family val="2"/>
          </rPr>
          <t>)
26/1/14 100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>3,300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처형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폐차수익금</t>
        </r>
        <r>
          <rPr>
            <b/>
            <sz val="9"/>
            <color indexed="81"/>
            <rFont val="Tahoma"/>
            <family val="2"/>
          </rPr>
          <t xml:space="preserve"> 120</t>
        </r>
        <r>
          <rPr>
            <b/>
            <sz val="9"/>
            <color indexed="81"/>
            <rFont val="돋움"/>
            <family val="3"/>
            <charset val="129"/>
          </rPr>
          <t xml:space="preserve">만원중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사용했으니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폐차수익은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사용하라고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</text>
    </comment>
    <comment ref="E26" authorId="0" shapeId="0" xr:uid="{E9D747B3-CF06-41CD-BFF7-F88D38A65853}">
      <text>
        <r>
          <rPr>
            <b/>
            <sz val="9"/>
            <color indexed="81"/>
            <rFont val="Tahoma"/>
            <family val="2"/>
          </rPr>
          <t xml:space="preserve">26/1/7 </t>
        </r>
        <r>
          <rPr>
            <b/>
            <sz val="9"/>
            <color indexed="81"/>
            <rFont val="돋움"/>
            <family val="3"/>
            <charset val="129"/>
          </rPr>
          <t>주식투자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: 3,200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정리잔금</t>
        </r>
        <r>
          <rPr>
            <b/>
            <sz val="9"/>
            <color indexed="81"/>
            <rFont val="Tahoma"/>
            <family val="2"/>
          </rPr>
          <t xml:space="preserve"> 1,300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경희계좌</t>
        </r>
        <r>
          <rPr>
            <b/>
            <sz val="9"/>
            <color indexed="81"/>
            <rFont val="Tahoma"/>
            <family val="2"/>
          </rPr>
          <t xml:space="preserve"> 1,000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보함대출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갑철</t>
        </r>
        <r>
          <rPr>
            <b/>
            <sz val="9"/>
            <color indexed="81"/>
            <rFont val="Tahoma"/>
            <family val="2"/>
          </rPr>
          <t>) 900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>937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</t>
        </r>
        <r>
          <rPr>
            <b/>
            <sz val="9"/>
            <color indexed="81"/>
            <rFont val="Tahoma"/>
            <family val="2"/>
          </rPr>
          <t>)
26/1/14 100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>3,300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처형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폐차수익금</t>
        </r>
        <r>
          <rPr>
            <b/>
            <sz val="9"/>
            <color indexed="81"/>
            <rFont val="Tahoma"/>
            <family val="2"/>
          </rPr>
          <t xml:space="preserve"> 120</t>
        </r>
        <r>
          <rPr>
            <b/>
            <sz val="9"/>
            <color indexed="81"/>
            <rFont val="돋움"/>
            <family val="3"/>
            <charset val="129"/>
          </rPr>
          <t xml:space="preserve">만원중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사용했으니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폐차수익은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사용하라고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</text>
    </comment>
    <comment ref="C37" authorId="0" shapeId="0" xr:uid="{10A6155C-6A57-4426-AFE0-8DF3E8E3308D}">
      <text>
        <r>
          <rPr>
            <b/>
            <sz val="9"/>
            <color indexed="81"/>
            <rFont val="Tahoma"/>
            <family val="2"/>
          </rPr>
          <t>26.5.6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: 120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사용
</t>
        </r>
        <r>
          <rPr>
            <b/>
            <sz val="9"/>
            <color indexed="81"/>
            <rFont val="Tahoma"/>
            <family val="2"/>
          </rPr>
          <t xml:space="preserve"># </t>
        </r>
        <r>
          <rPr>
            <b/>
            <sz val="9"/>
            <color indexed="81"/>
            <rFont val="돋움"/>
            <family val="3"/>
            <charset val="129"/>
          </rPr>
          <t>일상생활은</t>
        </r>
        <r>
          <rPr>
            <b/>
            <sz val="9"/>
            <color indexed="81"/>
            <rFont val="Tahoma"/>
            <family val="2"/>
          </rPr>
          <t xml:space="preserve"> 100-120</t>
        </r>
        <r>
          <rPr>
            <b/>
            <sz val="9"/>
            <color indexed="81"/>
            <rFont val="돋움"/>
            <family val="3"/>
            <charset val="129"/>
          </rPr>
          <t>만원으로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가능판단
</t>
        </r>
        <r>
          <rPr>
            <b/>
            <sz val="9"/>
            <color indexed="81"/>
            <rFont val="Tahoma"/>
            <family val="2"/>
          </rPr>
          <t xml:space="preserve">   -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30-50</t>
        </r>
        <r>
          <rPr>
            <b/>
            <sz val="9"/>
            <color indexed="81"/>
            <rFont val="돋움"/>
            <family val="3"/>
            <charset val="129"/>
          </rPr>
          <t>만원은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비일상적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사용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적립이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것임</t>
        </r>
      </text>
    </comment>
    <comment ref="C38" authorId="0" shapeId="0" xr:uid="{0BF62EDB-08EF-483B-9BBE-A53A81250B33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경희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 xml:space="preserve">개월분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갑철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개월분</t>
        </r>
      </text>
    </comment>
    <comment ref="G38" authorId="0" shapeId="0" xr:uid="{E3B11B79-68FD-441C-BE70-2CD40E8457A6}">
      <text>
        <r>
          <rPr>
            <sz val="9"/>
            <color indexed="81"/>
            <rFont val="돋움"/>
            <family val="3"/>
            <charset val="129"/>
          </rPr>
          <t>웅진코웨이</t>
        </r>
        <r>
          <rPr>
            <sz val="9"/>
            <color indexed="81"/>
            <rFont val="Tahoma"/>
            <family val="2"/>
          </rPr>
          <t xml:space="preserve"> : 26/5/4 </t>
        </r>
        <r>
          <rPr>
            <sz val="9"/>
            <color indexed="81"/>
            <rFont val="돋움"/>
            <family val="3"/>
            <charset val="129"/>
          </rPr>
          <t>신규국민카드로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고객센터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통화
</t>
        </r>
        <r>
          <rPr>
            <u/>
            <sz val="9"/>
            <color indexed="81"/>
            <rFont val="돋움"/>
            <family val="3"/>
            <charset val="129"/>
          </rPr>
          <t xml:space="preserve">
사용료</t>
        </r>
        <r>
          <rPr>
            <u/>
            <sz val="9"/>
            <color indexed="81"/>
            <rFont val="Tahoma"/>
            <family val="2"/>
          </rPr>
          <t xml:space="preserve"> : -26.5</t>
        </r>
        <r>
          <rPr>
            <u/>
            <sz val="9"/>
            <color indexed="81"/>
            <rFont val="돋움"/>
            <family val="3"/>
            <charset val="129"/>
          </rPr>
          <t>월</t>
        </r>
        <r>
          <rPr>
            <u/>
            <sz val="9"/>
            <color indexed="81"/>
            <rFont val="Tahoma"/>
            <family val="2"/>
          </rPr>
          <t xml:space="preserve"> 64,210 / 26.6</t>
        </r>
        <r>
          <rPr>
            <u/>
            <sz val="9"/>
            <color indexed="81"/>
            <rFont val="돋움"/>
            <family val="3"/>
            <charset val="129"/>
          </rPr>
          <t>월부터</t>
        </r>
        <r>
          <rPr>
            <u/>
            <sz val="9"/>
            <color indexed="81"/>
            <rFont val="Tahoma"/>
            <family val="2"/>
          </rPr>
          <t xml:space="preserve"> 81,490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정수기</t>
        </r>
        <r>
          <rPr>
            <sz val="9"/>
            <color indexed="81"/>
            <rFont val="Tahoma"/>
            <family val="2"/>
          </rPr>
          <t xml:space="preserve"> 28,600
 - </t>
        </r>
        <r>
          <rPr>
            <sz val="9"/>
            <color indexed="81"/>
            <rFont val="돋움"/>
            <family val="3"/>
            <charset val="129"/>
          </rPr>
          <t>공기청정기</t>
        </r>
        <r>
          <rPr>
            <sz val="9"/>
            <color indexed="81"/>
            <rFont val="Tahoma"/>
            <family val="2"/>
          </rPr>
          <t xml:space="preserve"> 31,710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) 18,900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) 17,280 (26.2-5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면제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</t>
        </r>
        <r>
          <rPr>
            <sz val="9"/>
            <color indexed="81"/>
            <rFont val="Tahoma"/>
            <family val="2"/>
          </rPr>
          <t xml:space="preserve">)
 - </t>
        </r>
        <r>
          <rPr>
            <sz val="9"/>
            <color indexed="81"/>
            <rFont val="돋움"/>
            <family val="3"/>
            <charset val="129"/>
          </rPr>
          <t>제휴카드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감면</t>
        </r>
        <r>
          <rPr>
            <sz val="9"/>
            <color indexed="81"/>
            <rFont val="Tahoma"/>
            <family val="2"/>
          </rPr>
          <t xml:space="preserve"> -15,000
</t>
        </r>
      </text>
    </comment>
    <comment ref="E39" authorId="0" shapeId="0" xr:uid="{91909E80-A311-4FF3-9A4A-5DE88998BE42}">
      <text>
        <r>
          <rPr>
            <b/>
            <sz val="9"/>
            <color indexed="81"/>
            <rFont val="Tahoma"/>
            <family val="2"/>
          </rPr>
          <t>26/4/29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첫입금</t>
        </r>
        <r>
          <rPr>
            <b/>
            <sz val="9"/>
            <color indexed="81"/>
            <rFont val="Tahoma"/>
            <family val="2"/>
          </rPr>
          <t xml:space="preserve"> 220</t>
        </r>
        <r>
          <rPr>
            <b/>
            <sz val="9"/>
            <color indexed="81"/>
            <rFont val="돋움"/>
            <family val="3"/>
            <charset val="129"/>
          </rPr>
          <t>만
이후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매월</t>
        </r>
        <r>
          <rPr>
            <b/>
            <sz val="9"/>
            <color indexed="81"/>
            <rFont val="Tahoma"/>
            <family val="2"/>
          </rPr>
          <t xml:space="preserve"> 29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입금예정
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국민은행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계좌
</t>
        </r>
        <r>
          <rPr>
            <b/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돋움"/>
            <family val="3"/>
            <charset val="129"/>
          </rPr>
          <t>국민연금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 xml:space="preserve">기초연금도
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국민은행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계좌로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변경함</t>
        </r>
      </text>
    </comment>
    <comment ref="C40" authorId="0" shapeId="0" xr:uid="{0B8444C5-98CF-49D4-A866-ED7D118847B9}">
      <text>
        <r>
          <rPr>
            <b/>
            <sz val="9"/>
            <color indexed="81"/>
            <rFont val="돋움"/>
            <family val="3"/>
            <charset val="129"/>
          </rPr>
          <t>사무실준비</t>
        </r>
        <r>
          <rPr>
            <b/>
            <sz val="9"/>
            <color indexed="81"/>
            <rFont val="Tahoma"/>
            <family val="2"/>
          </rPr>
          <t xml:space="preserve"> 173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청소</t>
        </r>
        <r>
          <rPr>
            <b/>
            <sz val="9"/>
            <color indexed="81"/>
            <rFont val="Tahoma"/>
            <family val="2"/>
          </rPr>
          <t xml:space="preserve"> 23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가구</t>
        </r>
        <r>
          <rPr>
            <b/>
            <sz val="9"/>
            <color indexed="81"/>
            <rFont val="Tahoma"/>
            <family val="2"/>
          </rPr>
          <t xml:space="preserve"> 150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(6/20)</t>
        </r>
        <r>
          <rPr>
            <b/>
            <sz val="9"/>
            <color indexed="81"/>
            <rFont val="돋움"/>
            <family val="3"/>
            <charset val="129"/>
          </rPr>
          <t xml:space="preserve">
타이어교체</t>
        </r>
        <r>
          <rPr>
            <b/>
            <sz val="9"/>
            <color indexed="81"/>
            <rFont val="Tahoma"/>
            <family val="2"/>
          </rPr>
          <t xml:space="preserve"> 117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- 26/4/14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콘티넨탈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트랙션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310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- 26/6/16
 - </t>
        </r>
        <r>
          <rPr>
            <b/>
            <sz val="9"/>
            <color indexed="81"/>
            <rFont val="돋움"/>
            <family val="3"/>
            <charset val="129"/>
          </rPr>
          <t>보선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지원해줌</t>
        </r>
      </text>
    </comment>
    <comment ref="E40" authorId="0" shapeId="0" xr:uid="{ADE14EAC-0DD8-4AC6-AB80-BFBD132FA754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</t>
        </r>
      </text>
    </comment>
    <comment ref="G40" authorId="0" shapeId="0" xr:uid="{C246EA22-7B5F-42DC-A98A-7825810F9A9E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통신비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감면</t>
        </r>
        <r>
          <rPr>
            <b/>
            <sz val="9"/>
            <color indexed="81"/>
            <rFont val="Tahoma"/>
            <family val="2"/>
          </rPr>
          <t xml:space="preserve"> 24,000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기초연금에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E41" authorId="0" shapeId="0" xr:uid="{12758103-C741-481E-8454-F351A6CDB368}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월세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부가세별도</t>
        </r>
        <r>
          <rPr>
            <b/>
            <sz val="9"/>
            <color indexed="81"/>
            <rFont val="Tahoma"/>
            <family val="2"/>
          </rPr>
          <t xml:space="preserve">)
   . </t>
        </r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감액제외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최대월세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현금으로</t>
        </r>
        <r>
          <rPr>
            <b/>
            <sz val="9"/>
            <color indexed="81"/>
            <rFont val="Tahoma"/>
            <family val="2"/>
          </rPr>
          <t xml:space="preserve"> 20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별도받음
</t>
        </r>
        <r>
          <rPr>
            <b/>
            <sz val="9"/>
            <color indexed="81"/>
            <rFont val="Tahoma"/>
            <family val="2"/>
          </rPr>
          <t xml:space="preserve"> 
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4,5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생일축하금</t>
        </r>
        <r>
          <rPr>
            <b/>
            <sz val="9"/>
            <color indexed="81"/>
            <rFont val="Tahoma"/>
            <family val="2"/>
          </rPr>
          <t xml:space="preserve"> 170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경희생일</t>
        </r>
        <r>
          <rPr>
            <b/>
            <sz val="9"/>
            <color indexed="81"/>
            <rFont val="Tahoma"/>
            <family val="2"/>
          </rPr>
          <t>(4/12) : 600,000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   . </t>
        </r>
        <r>
          <rPr>
            <b/>
            <sz val="9"/>
            <color indexed="81"/>
            <rFont val="돋움"/>
            <family val="3"/>
            <charset val="129"/>
          </rPr>
          <t>보선</t>
        </r>
        <r>
          <rPr>
            <b/>
            <sz val="9"/>
            <color indexed="81"/>
            <rFont val="Tahoma"/>
            <family val="2"/>
          </rPr>
          <t xml:space="preserve"> 100,000, </t>
        </r>
        <r>
          <rPr>
            <b/>
            <sz val="9"/>
            <color indexed="81"/>
            <rFont val="돋움"/>
            <family val="3"/>
            <charset val="129"/>
          </rPr>
          <t>지수</t>
        </r>
        <r>
          <rPr>
            <b/>
            <sz val="9"/>
            <color indexed="81"/>
            <rFont val="Tahoma"/>
            <family val="2"/>
          </rPr>
          <t xml:space="preserve"> 500,000
 - </t>
        </r>
        <r>
          <rPr>
            <b/>
            <sz val="9"/>
            <color indexed="81"/>
            <rFont val="돋움"/>
            <family val="3"/>
            <charset val="129"/>
          </rPr>
          <t>감철생일</t>
        </r>
        <r>
          <rPr>
            <b/>
            <sz val="9"/>
            <color indexed="81"/>
            <rFont val="Tahoma"/>
            <family val="2"/>
          </rPr>
          <t>(5/2) : 1.100,000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   . </t>
        </r>
        <r>
          <rPr>
            <b/>
            <sz val="9"/>
            <color indexed="81"/>
            <rFont val="돋움"/>
            <family val="3"/>
            <charset val="129"/>
          </rPr>
          <t>보선</t>
        </r>
        <r>
          <rPr>
            <b/>
            <sz val="9"/>
            <color indexed="81"/>
            <rFont val="Tahoma"/>
            <family val="2"/>
          </rPr>
          <t xml:space="preserve"> 600,000, </t>
        </r>
        <r>
          <rPr>
            <b/>
            <sz val="9"/>
            <color indexed="81"/>
            <rFont val="돋움"/>
            <family val="3"/>
            <charset val="129"/>
          </rPr>
          <t>지수</t>
        </r>
        <r>
          <rPr>
            <b/>
            <sz val="9"/>
            <color indexed="81"/>
            <rFont val="Tahoma"/>
            <family val="2"/>
          </rPr>
          <t xml:space="preserve"> 500,000
</t>
        </r>
        <r>
          <rPr>
            <b/>
            <u/>
            <sz val="9"/>
            <color indexed="81"/>
            <rFont val="Tahoma"/>
            <family val="2"/>
          </rPr>
          <t xml:space="preserve"> # 4/5</t>
        </r>
        <r>
          <rPr>
            <b/>
            <u/>
            <sz val="9"/>
            <color indexed="81"/>
            <rFont val="돋움"/>
            <family val="3"/>
            <charset val="129"/>
          </rPr>
          <t>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임대료보다</t>
        </r>
        <r>
          <rPr>
            <b/>
            <u/>
            <sz val="9"/>
            <color indexed="81"/>
            <rFont val="Tahoma"/>
            <family val="2"/>
          </rPr>
          <t xml:space="preserve"> 70</t>
        </r>
        <r>
          <rPr>
            <b/>
            <u/>
            <sz val="9"/>
            <color indexed="81"/>
            <rFont val="돋움"/>
            <family val="3"/>
            <charset val="129"/>
          </rPr>
          <t>만원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추가됨</t>
        </r>
      </text>
    </comment>
    <comment ref="E43" authorId="0" shapeId="0" xr:uid="{2532170B-EB70-4036-8E52-DCFBFDCB170E}">
      <text>
        <r>
          <rPr>
            <b/>
            <sz val="9"/>
            <color indexed="81"/>
            <rFont val="돋움"/>
            <family val="3"/>
            <charset val="129"/>
          </rPr>
          <t>기본급</t>
        </r>
        <r>
          <rPr>
            <b/>
            <sz val="9"/>
            <color indexed="81"/>
            <rFont val="Tahoma"/>
            <family val="2"/>
          </rPr>
          <t xml:space="preserve"> 218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세후</t>
        </r>
        <r>
          <rPr>
            <b/>
            <sz val="9"/>
            <color indexed="81"/>
            <rFont val="Tahoma"/>
            <family val="2"/>
          </rPr>
          <t xml:space="preserve"> 196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건강보험</t>
        </r>
        <r>
          <rPr>
            <b/>
            <sz val="9"/>
            <color indexed="81"/>
            <rFont val="Tahoma"/>
            <family val="2"/>
          </rPr>
          <t xml:space="preserve"> 8%)
</t>
        </r>
        <r>
          <rPr>
            <b/>
            <sz val="9"/>
            <color indexed="81"/>
            <rFont val="돋움"/>
            <family val="3"/>
            <charset val="129"/>
          </rPr>
          <t>퇴직금추가</t>
        </r>
        <r>
          <rPr>
            <b/>
            <sz val="9"/>
            <color indexed="81"/>
            <rFont val="Tahoma"/>
            <family val="2"/>
          </rPr>
          <t xml:space="preserve"> : 210</t>
        </r>
        <r>
          <rPr>
            <b/>
            <sz val="9"/>
            <color indexed="81"/>
            <rFont val="돋움"/>
            <family val="3"/>
            <charset val="129"/>
          </rPr>
          <t>만
실증가액</t>
        </r>
        <r>
          <rPr>
            <b/>
            <sz val="9"/>
            <color indexed="81"/>
            <rFont val="Tahoma"/>
            <family val="2"/>
          </rPr>
          <t xml:space="preserve"> : 155</t>
        </r>
        <r>
          <rPr>
            <b/>
            <sz val="9"/>
            <color indexed="81"/>
            <rFont val="돋움"/>
            <family val="3"/>
            <charset val="129"/>
          </rPr>
          <t>만
추가경비</t>
        </r>
        <r>
          <rPr>
            <b/>
            <sz val="9"/>
            <color indexed="81"/>
            <rFont val="Tahoma"/>
            <family val="2"/>
          </rPr>
          <t xml:space="preserve"> : -55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
 - </t>
        </r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-45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유류비</t>
        </r>
        <r>
          <rPr>
            <b/>
            <sz val="9"/>
            <color indexed="81"/>
            <rFont val="Tahoma"/>
            <family val="2"/>
          </rPr>
          <t xml:space="preserve"> -22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건강보험</t>
        </r>
        <r>
          <rPr>
            <b/>
            <sz val="9"/>
            <color indexed="81"/>
            <rFont val="Tahoma"/>
            <family val="2"/>
          </rPr>
          <t xml:space="preserve"> +12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G48" authorId="0" shapeId="0" xr:uid="{DD661359-5FF2-431F-B5E3-AE14062B31E8}">
      <text>
        <r>
          <rPr>
            <b/>
            <sz val="9"/>
            <color indexed="81"/>
            <rFont val="돋움"/>
            <family val="3"/>
            <charset val="129"/>
          </rPr>
          <t>관리비</t>
        </r>
        <r>
          <rPr>
            <b/>
            <sz val="9"/>
            <color indexed="81"/>
            <rFont val="Tahoma"/>
            <family val="2"/>
          </rPr>
          <t xml:space="preserve"> : 7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태희지급
주차비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정기권차량으로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 xml:space="preserve">천원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매</t>
        </r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개월단위로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계속사용하면
</t>
        </r>
        <r>
          <rPr>
            <b/>
            <sz val="9"/>
            <color indexed="81"/>
            <rFont val="Tahoma"/>
            <family val="2"/>
          </rPr>
          <t xml:space="preserve">    6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  . </t>
        </r>
        <r>
          <rPr>
            <b/>
            <sz val="9"/>
            <color indexed="81"/>
            <rFont val="돋움"/>
            <family val="3"/>
            <charset val="129"/>
          </rPr>
          <t>확인필요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G54" authorId="0" shapeId="0" xr:uid="{DA37BE76-2C8B-4253-A3A4-89B75D0EB656}">
      <text>
        <r>
          <rPr>
            <sz val="9"/>
            <color indexed="81"/>
            <rFont val="돋움"/>
            <family val="3"/>
            <charset val="129"/>
          </rPr>
          <t>웅진코웨이</t>
        </r>
        <r>
          <rPr>
            <sz val="9"/>
            <color indexed="81"/>
            <rFont val="Tahoma"/>
            <family val="2"/>
          </rPr>
          <t xml:space="preserve"> : 26/5/4 </t>
        </r>
        <r>
          <rPr>
            <sz val="9"/>
            <color indexed="81"/>
            <rFont val="돋움"/>
            <family val="3"/>
            <charset val="129"/>
          </rPr>
          <t>신규국민카드로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고객센터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통화
</t>
        </r>
        <r>
          <rPr>
            <u/>
            <sz val="9"/>
            <color indexed="81"/>
            <rFont val="돋움"/>
            <family val="3"/>
            <charset val="129"/>
          </rPr>
          <t xml:space="preserve">
사용료</t>
        </r>
        <r>
          <rPr>
            <u/>
            <sz val="9"/>
            <color indexed="81"/>
            <rFont val="Tahoma"/>
            <family val="2"/>
          </rPr>
          <t xml:space="preserve"> : -26.5</t>
        </r>
        <r>
          <rPr>
            <u/>
            <sz val="9"/>
            <color indexed="81"/>
            <rFont val="돋움"/>
            <family val="3"/>
            <charset val="129"/>
          </rPr>
          <t>월</t>
        </r>
        <r>
          <rPr>
            <u/>
            <sz val="9"/>
            <color indexed="81"/>
            <rFont val="Tahoma"/>
            <family val="2"/>
          </rPr>
          <t xml:space="preserve"> 64,210 / 26.6</t>
        </r>
        <r>
          <rPr>
            <u/>
            <sz val="9"/>
            <color indexed="81"/>
            <rFont val="돋움"/>
            <family val="3"/>
            <charset val="129"/>
          </rPr>
          <t>월부터</t>
        </r>
        <r>
          <rPr>
            <u/>
            <sz val="9"/>
            <color indexed="81"/>
            <rFont val="Tahoma"/>
            <family val="2"/>
          </rPr>
          <t xml:space="preserve"> 81,490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정수기</t>
        </r>
        <r>
          <rPr>
            <sz val="9"/>
            <color indexed="81"/>
            <rFont val="Tahoma"/>
            <family val="2"/>
          </rPr>
          <t xml:space="preserve"> 28,600
 - </t>
        </r>
        <r>
          <rPr>
            <sz val="9"/>
            <color indexed="81"/>
            <rFont val="돋움"/>
            <family val="3"/>
            <charset val="129"/>
          </rPr>
          <t>공기청정기</t>
        </r>
        <r>
          <rPr>
            <sz val="9"/>
            <color indexed="81"/>
            <rFont val="Tahoma"/>
            <family val="2"/>
          </rPr>
          <t xml:space="preserve"> 31,710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) 18,900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) 17,280 (26.2-5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면제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</t>
        </r>
        <r>
          <rPr>
            <sz val="9"/>
            <color indexed="81"/>
            <rFont val="Tahoma"/>
            <family val="2"/>
          </rPr>
          <t xml:space="preserve">)
 - </t>
        </r>
        <r>
          <rPr>
            <sz val="9"/>
            <color indexed="81"/>
            <rFont val="돋움"/>
            <family val="3"/>
            <charset val="129"/>
          </rPr>
          <t>제휴카드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감면</t>
        </r>
        <r>
          <rPr>
            <sz val="9"/>
            <color indexed="81"/>
            <rFont val="Tahoma"/>
            <family val="2"/>
          </rPr>
          <t xml:space="preserve"> -15,000
</t>
        </r>
      </text>
    </comment>
    <comment ref="E56" authorId="0" shapeId="0" xr:uid="{15907138-E70D-43F7-8040-A4999566CAD7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수급대상 : 27년 노인소득하위70%기준 유지
 - 계속 수급가능
부부가구 감액 축소 예상
 - 27년 -20%
   .확정내용 : 0-45% -10%로 조정
 - 28년 -10% (?)
금액인상 / 하후상박 적용가능 : 수령액 인상
 - 27년 금액인상 없음
 - 확정내용 : 0-30% +3만원(인당)
국민연금 수령자 감액 -50% : 감액폐지 여론</t>
        </r>
      </text>
    </comment>
    <comment ref="G56" authorId="0" shapeId="0" xr:uid="{D6B8D79A-E858-4044-B4FD-B61DEF55757D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통신비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감면</t>
        </r>
        <r>
          <rPr>
            <b/>
            <sz val="9"/>
            <color indexed="81"/>
            <rFont val="Tahoma"/>
            <family val="2"/>
          </rPr>
          <t xml:space="preserve"> 24,000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기초연금에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E59" authorId="0" shapeId="0" xr:uid="{2984AFCF-0FAC-493D-B6B8-CE545FEF2D3D}">
      <text>
        <r>
          <rPr>
            <b/>
            <sz val="9"/>
            <color indexed="81"/>
            <rFont val="돋움"/>
            <family val="3"/>
            <charset val="129"/>
          </rPr>
          <t>기본급</t>
        </r>
        <r>
          <rPr>
            <b/>
            <sz val="9"/>
            <color indexed="81"/>
            <rFont val="Tahoma"/>
            <family val="2"/>
          </rPr>
          <t xml:space="preserve"> 218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세후</t>
        </r>
        <r>
          <rPr>
            <b/>
            <sz val="9"/>
            <color indexed="81"/>
            <rFont val="Tahoma"/>
            <family val="2"/>
          </rPr>
          <t xml:space="preserve"> 196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건강보험</t>
        </r>
        <r>
          <rPr>
            <b/>
            <sz val="9"/>
            <color indexed="81"/>
            <rFont val="Tahoma"/>
            <family val="2"/>
          </rPr>
          <t xml:space="preserve"> 8%)
</t>
        </r>
        <r>
          <rPr>
            <b/>
            <sz val="9"/>
            <color indexed="81"/>
            <rFont val="돋움"/>
            <family val="3"/>
            <charset val="129"/>
          </rPr>
          <t>퇴직금추가</t>
        </r>
        <r>
          <rPr>
            <b/>
            <sz val="9"/>
            <color indexed="81"/>
            <rFont val="Tahoma"/>
            <family val="2"/>
          </rPr>
          <t xml:space="preserve"> : 210</t>
        </r>
        <r>
          <rPr>
            <b/>
            <sz val="9"/>
            <color indexed="81"/>
            <rFont val="돋움"/>
            <family val="3"/>
            <charset val="129"/>
          </rPr>
          <t>만
실증가액</t>
        </r>
        <r>
          <rPr>
            <b/>
            <sz val="9"/>
            <color indexed="81"/>
            <rFont val="Tahoma"/>
            <family val="2"/>
          </rPr>
          <t xml:space="preserve"> : 155</t>
        </r>
        <r>
          <rPr>
            <b/>
            <sz val="9"/>
            <color indexed="81"/>
            <rFont val="돋움"/>
            <family val="3"/>
            <charset val="129"/>
          </rPr>
          <t>만
추가경비</t>
        </r>
        <r>
          <rPr>
            <b/>
            <sz val="9"/>
            <color indexed="81"/>
            <rFont val="Tahoma"/>
            <family val="2"/>
          </rPr>
          <t xml:space="preserve"> : -55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
 - </t>
        </r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-45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유류비</t>
        </r>
        <r>
          <rPr>
            <b/>
            <sz val="9"/>
            <color indexed="81"/>
            <rFont val="Tahoma"/>
            <family val="2"/>
          </rPr>
          <t xml:space="preserve"> -22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건강보험</t>
        </r>
        <r>
          <rPr>
            <b/>
            <sz val="9"/>
            <color indexed="81"/>
            <rFont val="Tahoma"/>
            <family val="2"/>
          </rPr>
          <t xml:space="preserve"> +12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E63" authorId="0" shapeId="0" xr:uid="{77424541-5043-45BA-94ED-6806EECB23E8}">
      <text>
        <r>
          <rPr>
            <b/>
            <sz val="9"/>
            <color indexed="81"/>
            <rFont val="돋움"/>
            <family val="3"/>
            <charset val="129"/>
          </rPr>
          <t xml:space="preserve">재해사망시는
</t>
        </r>
        <r>
          <rPr>
            <b/>
            <sz val="9"/>
            <color indexed="81"/>
            <rFont val="Tahoma"/>
            <family val="2"/>
          </rPr>
          <t>3.5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G64" authorId="0" shapeId="0" xr:uid="{D49966E8-F32B-4B3E-90D0-53A4C639F3D4}">
      <text>
        <r>
          <rPr>
            <b/>
            <sz val="9"/>
            <color indexed="81"/>
            <rFont val="돋움"/>
            <family val="3"/>
            <charset val="129"/>
          </rPr>
          <t>관리비</t>
        </r>
        <r>
          <rPr>
            <b/>
            <sz val="9"/>
            <color indexed="81"/>
            <rFont val="Tahoma"/>
            <family val="2"/>
          </rPr>
          <t xml:space="preserve"> : 6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태희지급
주차비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정기권차잘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매</t>
        </r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개월단위로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계속사용하면
</t>
        </r>
        <r>
          <rPr>
            <b/>
            <sz val="9"/>
            <color indexed="81"/>
            <rFont val="Tahoma"/>
            <family val="2"/>
          </rPr>
          <t xml:space="preserve">    6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G70" authorId="0" shapeId="0" xr:uid="{8F55ED1D-B17E-4810-B77B-E99F6295ADA3}">
      <text>
        <r>
          <rPr>
            <sz val="9"/>
            <color indexed="81"/>
            <rFont val="돋움"/>
            <family val="3"/>
            <charset val="129"/>
          </rPr>
          <t>웅진코웨이</t>
        </r>
        <r>
          <rPr>
            <sz val="9"/>
            <color indexed="81"/>
            <rFont val="Tahoma"/>
            <family val="2"/>
          </rPr>
          <t xml:space="preserve"> : 26/5/4 </t>
        </r>
        <r>
          <rPr>
            <sz val="9"/>
            <color indexed="81"/>
            <rFont val="돋움"/>
            <family val="3"/>
            <charset val="129"/>
          </rPr>
          <t>신규국민카드로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고객센터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통화
</t>
        </r>
        <r>
          <rPr>
            <u/>
            <sz val="9"/>
            <color indexed="81"/>
            <rFont val="돋움"/>
            <family val="3"/>
            <charset val="129"/>
          </rPr>
          <t xml:space="preserve">
사용료</t>
        </r>
        <r>
          <rPr>
            <u/>
            <sz val="9"/>
            <color indexed="81"/>
            <rFont val="Tahoma"/>
            <family val="2"/>
          </rPr>
          <t xml:space="preserve"> : -26.5</t>
        </r>
        <r>
          <rPr>
            <u/>
            <sz val="9"/>
            <color indexed="81"/>
            <rFont val="돋움"/>
            <family val="3"/>
            <charset val="129"/>
          </rPr>
          <t>월</t>
        </r>
        <r>
          <rPr>
            <u/>
            <sz val="9"/>
            <color indexed="81"/>
            <rFont val="Tahoma"/>
            <family val="2"/>
          </rPr>
          <t xml:space="preserve"> 64,210 / 26.6</t>
        </r>
        <r>
          <rPr>
            <u/>
            <sz val="9"/>
            <color indexed="81"/>
            <rFont val="돋움"/>
            <family val="3"/>
            <charset val="129"/>
          </rPr>
          <t>월부터</t>
        </r>
        <r>
          <rPr>
            <u/>
            <sz val="9"/>
            <color indexed="81"/>
            <rFont val="Tahoma"/>
            <family val="2"/>
          </rPr>
          <t xml:space="preserve"> 81,490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정수기</t>
        </r>
        <r>
          <rPr>
            <sz val="9"/>
            <color indexed="81"/>
            <rFont val="Tahoma"/>
            <family val="2"/>
          </rPr>
          <t xml:space="preserve"> 28,600
 - </t>
        </r>
        <r>
          <rPr>
            <sz val="9"/>
            <color indexed="81"/>
            <rFont val="돋움"/>
            <family val="3"/>
            <charset val="129"/>
          </rPr>
          <t>공기청정기</t>
        </r>
        <r>
          <rPr>
            <sz val="9"/>
            <color indexed="81"/>
            <rFont val="Tahoma"/>
            <family val="2"/>
          </rPr>
          <t xml:space="preserve"> 31,710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) 18,900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) 17,280 (26.2-5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면제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</t>
        </r>
        <r>
          <rPr>
            <sz val="9"/>
            <color indexed="81"/>
            <rFont val="Tahoma"/>
            <family val="2"/>
          </rPr>
          <t xml:space="preserve">)
 - </t>
        </r>
        <r>
          <rPr>
            <sz val="9"/>
            <color indexed="81"/>
            <rFont val="돋움"/>
            <family val="3"/>
            <charset val="129"/>
          </rPr>
          <t>제휴카드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감면</t>
        </r>
        <r>
          <rPr>
            <sz val="9"/>
            <color indexed="81"/>
            <rFont val="Tahoma"/>
            <family val="2"/>
          </rPr>
          <t xml:space="preserve"> -15,000
</t>
        </r>
      </text>
    </comment>
    <comment ref="E72" authorId="0" shapeId="0" xr:uid="{FF592A64-4486-46D4-92F0-8CAF1A63F863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부부가구 감액 축소 예상
 - 29년 -10%
 - 30년 -0%
금액인상 / 하후상박 적용가능 : 수령액 인상
 : 년1% 인상으로 고려함</t>
        </r>
      </text>
    </comment>
    <comment ref="G72" authorId="0" shapeId="0" xr:uid="{F3C0A017-A96D-4221-8DD8-DC2204371EDE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통신비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감면</t>
        </r>
        <r>
          <rPr>
            <b/>
            <sz val="9"/>
            <color indexed="81"/>
            <rFont val="Tahoma"/>
            <family val="2"/>
          </rPr>
          <t xml:space="preserve"> 24,000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기초연금에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E74" authorId="0" shapeId="0" xr:uid="{F415BAE4-4B03-4275-BC0A-72B5E8FB6215}">
      <text>
        <r>
          <rPr>
            <b/>
            <sz val="9"/>
            <color indexed="81"/>
            <rFont val="돋움"/>
            <family val="3"/>
            <charset val="129"/>
          </rPr>
          <t>보선생활비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</text>
    </comment>
    <comment ref="E75" authorId="0" shapeId="0" xr:uid="{13433456-5C83-4EA3-B5DA-46EAF06A7737}">
      <text>
        <r>
          <rPr>
            <b/>
            <sz val="9"/>
            <color indexed="81"/>
            <rFont val="돋움"/>
            <family val="3"/>
            <charset val="129"/>
          </rPr>
          <t>기본급</t>
        </r>
        <r>
          <rPr>
            <b/>
            <sz val="9"/>
            <color indexed="81"/>
            <rFont val="Tahoma"/>
            <family val="2"/>
          </rPr>
          <t xml:space="preserve"> 218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세후</t>
        </r>
        <r>
          <rPr>
            <b/>
            <sz val="9"/>
            <color indexed="81"/>
            <rFont val="Tahoma"/>
            <family val="2"/>
          </rPr>
          <t xml:space="preserve"> 196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건강보험</t>
        </r>
        <r>
          <rPr>
            <b/>
            <sz val="9"/>
            <color indexed="81"/>
            <rFont val="Tahoma"/>
            <family val="2"/>
          </rPr>
          <t xml:space="preserve"> 8%)
</t>
        </r>
        <r>
          <rPr>
            <b/>
            <sz val="9"/>
            <color indexed="81"/>
            <rFont val="돋움"/>
            <family val="3"/>
            <charset val="129"/>
          </rPr>
          <t>퇴직금추가</t>
        </r>
        <r>
          <rPr>
            <b/>
            <sz val="9"/>
            <color indexed="81"/>
            <rFont val="Tahoma"/>
            <family val="2"/>
          </rPr>
          <t xml:space="preserve"> : 210</t>
        </r>
        <r>
          <rPr>
            <b/>
            <sz val="9"/>
            <color indexed="81"/>
            <rFont val="돋움"/>
            <family val="3"/>
            <charset val="129"/>
          </rPr>
          <t>만
실증가액</t>
        </r>
        <r>
          <rPr>
            <b/>
            <sz val="9"/>
            <color indexed="81"/>
            <rFont val="Tahoma"/>
            <family val="2"/>
          </rPr>
          <t xml:space="preserve"> : 155</t>
        </r>
        <r>
          <rPr>
            <b/>
            <sz val="9"/>
            <color indexed="81"/>
            <rFont val="돋움"/>
            <family val="3"/>
            <charset val="129"/>
          </rPr>
          <t>만
추가경비</t>
        </r>
        <r>
          <rPr>
            <b/>
            <sz val="9"/>
            <color indexed="81"/>
            <rFont val="Tahoma"/>
            <family val="2"/>
          </rPr>
          <t xml:space="preserve"> : -55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
 - </t>
        </r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-45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유류비</t>
        </r>
        <r>
          <rPr>
            <b/>
            <sz val="9"/>
            <color indexed="81"/>
            <rFont val="Tahoma"/>
            <family val="2"/>
          </rPr>
          <t xml:space="preserve"> -22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건강보험</t>
        </r>
        <r>
          <rPr>
            <b/>
            <sz val="9"/>
            <color indexed="81"/>
            <rFont val="Tahoma"/>
            <family val="2"/>
          </rPr>
          <t xml:space="preserve"> +12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E79" authorId="0" shapeId="0" xr:uid="{02FDA6CE-CD70-425F-A46D-1D9722D4D506}">
      <text>
        <r>
          <rPr>
            <b/>
            <sz val="9"/>
            <color indexed="81"/>
            <rFont val="돋움"/>
            <family val="3"/>
            <charset val="129"/>
          </rPr>
          <t xml:space="preserve">재해사망시는
</t>
        </r>
        <r>
          <rPr>
            <b/>
            <sz val="9"/>
            <color indexed="81"/>
            <rFont val="Tahoma"/>
            <family val="2"/>
          </rPr>
          <t>3.5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G80" authorId="0" shapeId="0" xr:uid="{351F23F9-0603-427E-B582-3C39FA730E9A}">
      <text>
        <r>
          <rPr>
            <b/>
            <sz val="9"/>
            <color indexed="81"/>
            <rFont val="돋움"/>
            <family val="3"/>
            <charset val="129"/>
          </rPr>
          <t>관리비</t>
        </r>
        <r>
          <rPr>
            <b/>
            <sz val="9"/>
            <color indexed="81"/>
            <rFont val="Tahoma"/>
            <family val="2"/>
          </rPr>
          <t xml:space="preserve"> : 6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태희지급
주차비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정기권차잘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매</t>
        </r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개월단위로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계속사용하면
</t>
        </r>
        <r>
          <rPr>
            <b/>
            <sz val="9"/>
            <color indexed="81"/>
            <rFont val="Tahoma"/>
            <family val="2"/>
          </rPr>
          <t xml:space="preserve">    6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85" authorId="0" shapeId="0" xr:uid="{D0052CA9-D294-49D0-B53D-C4CC2102736B}">
      <text>
        <r>
          <rPr>
            <b/>
            <sz val="9"/>
            <color indexed="81"/>
            <rFont val="돋움"/>
            <family val="3"/>
            <charset val="129"/>
          </rPr>
          <t>세금제외
지하철 개통 : 28년말 예상
시티타워 착공 : 27년중 예상</t>
        </r>
      </text>
    </comment>
    <comment ref="F85" authorId="0" shapeId="0" xr:uid="{2DF7DE3F-760A-4E83-8A55-887BF3132090}">
      <text>
        <r>
          <rPr>
            <b/>
            <sz val="9"/>
            <color indexed="81"/>
            <rFont val="돋움"/>
            <family val="3"/>
            <charset val="129"/>
          </rPr>
          <t>지수투자금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상환</t>
        </r>
        <r>
          <rPr>
            <b/>
            <sz val="9"/>
            <color indexed="81"/>
            <rFont val="Tahoma"/>
            <family val="2"/>
          </rPr>
          <t xml:space="preserve">  -3,000</t>
        </r>
        <r>
          <rPr>
            <b/>
            <sz val="9"/>
            <color indexed="81"/>
            <rFont val="돋움"/>
            <family val="3"/>
            <charset val="129"/>
          </rPr>
          <t>만
지수애기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증여</t>
        </r>
        <r>
          <rPr>
            <b/>
            <sz val="9"/>
            <color indexed="81"/>
            <rFont val="Tahoma"/>
            <family val="2"/>
          </rPr>
          <t xml:space="preserve"> -5,000</t>
        </r>
        <r>
          <rPr>
            <b/>
            <sz val="9"/>
            <color indexed="81"/>
            <rFont val="돋움"/>
            <family val="3"/>
            <charset val="129"/>
          </rPr>
          <t>만
서연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증여</t>
        </r>
        <r>
          <rPr>
            <b/>
            <sz val="9"/>
            <color indexed="81"/>
            <rFont val="Tahoma"/>
            <family val="2"/>
          </rPr>
          <t xml:space="preserve"> -4,000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F90" authorId="0" shapeId="0" xr:uid="{51301D98-8080-44A5-817F-B13712A1E5BD}">
      <text>
        <r>
          <rPr>
            <b/>
            <sz val="9"/>
            <color indexed="81"/>
            <rFont val="돋움"/>
            <family val="3"/>
            <charset val="129"/>
          </rPr>
          <t>상가</t>
        </r>
        <r>
          <rPr>
            <b/>
            <sz val="9"/>
            <color indexed="81"/>
            <rFont val="Tahoma"/>
            <family val="2"/>
          </rPr>
          <t xml:space="preserve"> 120,000,000
   - </t>
        </r>
        <r>
          <rPr>
            <b/>
            <sz val="9"/>
            <color indexed="81"/>
            <rFont val="돋움"/>
            <family val="3"/>
            <charset val="129"/>
          </rPr>
          <t>지수</t>
        </r>
        <r>
          <rPr>
            <b/>
            <sz val="9"/>
            <color indexed="81"/>
            <rFont val="Tahoma"/>
            <family val="2"/>
          </rPr>
          <t xml:space="preserve"> 30,000,000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대동상속으로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대체
</t>
        </r>
        <r>
          <rPr>
            <b/>
            <sz val="9"/>
            <color indexed="81"/>
            <rFont val="Tahoma"/>
            <family val="2"/>
          </rPr>
          <t>KC</t>
        </r>
        <r>
          <rPr>
            <b/>
            <sz val="9"/>
            <color indexed="81"/>
            <rFont val="돋움"/>
            <family val="3"/>
            <charset val="129"/>
          </rPr>
          <t>보함대출</t>
        </r>
        <r>
          <rPr>
            <b/>
            <sz val="9"/>
            <color indexed="81"/>
            <rFont val="Tahoma"/>
            <family val="2"/>
          </rPr>
          <t xml:space="preserve"> : 50,000,000
</t>
        </r>
        <r>
          <rPr>
            <b/>
            <sz val="9"/>
            <color indexed="81"/>
            <rFont val="돋움"/>
            <family val="3"/>
            <charset val="129"/>
          </rPr>
          <t>장모님</t>
        </r>
        <r>
          <rPr>
            <b/>
            <sz val="9"/>
            <color indexed="81"/>
            <rFont val="Tahoma"/>
            <family val="2"/>
          </rPr>
          <t xml:space="preserve"> 15,000,000
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보험대출</t>
        </r>
        <r>
          <rPr>
            <b/>
            <sz val="9"/>
            <color indexed="81"/>
            <rFont val="Tahoma"/>
            <family val="2"/>
          </rPr>
          <t xml:space="preserve"> 60,000,000</t>
        </r>
      </text>
    </comment>
    <comment ref="G96" authorId="0" shapeId="0" xr:uid="{99D9FB20-12B8-4920-8DA1-D09C763B576E}">
      <text>
        <r>
          <rPr>
            <sz val="9"/>
            <color indexed="81"/>
            <rFont val="돋움"/>
            <family val="3"/>
            <charset val="129"/>
          </rPr>
          <t>웅진코웨이</t>
        </r>
        <r>
          <rPr>
            <sz val="9"/>
            <color indexed="81"/>
            <rFont val="Tahoma"/>
            <family val="2"/>
          </rPr>
          <t xml:space="preserve"> : 26/5/4 </t>
        </r>
        <r>
          <rPr>
            <sz val="9"/>
            <color indexed="81"/>
            <rFont val="돋움"/>
            <family val="3"/>
            <charset val="129"/>
          </rPr>
          <t>신규국민카드로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고객센터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통화
</t>
        </r>
        <r>
          <rPr>
            <u/>
            <sz val="9"/>
            <color indexed="81"/>
            <rFont val="돋움"/>
            <family val="3"/>
            <charset val="129"/>
          </rPr>
          <t xml:space="preserve">
사용료</t>
        </r>
        <r>
          <rPr>
            <u/>
            <sz val="9"/>
            <color indexed="81"/>
            <rFont val="Tahoma"/>
            <family val="2"/>
          </rPr>
          <t xml:space="preserve"> : -26.5</t>
        </r>
        <r>
          <rPr>
            <u/>
            <sz val="9"/>
            <color indexed="81"/>
            <rFont val="돋움"/>
            <family val="3"/>
            <charset val="129"/>
          </rPr>
          <t>월</t>
        </r>
        <r>
          <rPr>
            <u/>
            <sz val="9"/>
            <color indexed="81"/>
            <rFont val="Tahoma"/>
            <family val="2"/>
          </rPr>
          <t xml:space="preserve"> 64,210 / 26.6</t>
        </r>
        <r>
          <rPr>
            <u/>
            <sz val="9"/>
            <color indexed="81"/>
            <rFont val="돋움"/>
            <family val="3"/>
            <charset val="129"/>
          </rPr>
          <t>월부터</t>
        </r>
        <r>
          <rPr>
            <u/>
            <sz val="9"/>
            <color indexed="81"/>
            <rFont val="Tahoma"/>
            <family val="2"/>
          </rPr>
          <t xml:space="preserve"> 81,490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정수기</t>
        </r>
        <r>
          <rPr>
            <sz val="9"/>
            <color indexed="81"/>
            <rFont val="Tahoma"/>
            <family val="2"/>
          </rPr>
          <t xml:space="preserve"> 28,600
 - </t>
        </r>
        <r>
          <rPr>
            <sz val="9"/>
            <color indexed="81"/>
            <rFont val="돋움"/>
            <family val="3"/>
            <charset val="129"/>
          </rPr>
          <t>공기청정기</t>
        </r>
        <r>
          <rPr>
            <sz val="9"/>
            <color indexed="81"/>
            <rFont val="Tahoma"/>
            <family val="2"/>
          </rPr>
          <t xml:space="preserve"> 31,710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) 18,900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) 17,280 (26.2-5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면제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</t>
        </r>
        <r>
          <rPr>
            <sz val="9"/>
            <color indexed="81"/>
            <rFont val="Tahoma"/>
            <family val="2"/>
          </rPr>
          <t xml:space="preserve">)
 - </t>
        </r>
        <r>
          <rPr>
            <sz val="9"/>
            <color indexed="81"/>
            <rFont val="돋움"/>
            <family val="3"/>
            <charset val="129"/>
          </rPr>
          <t>제휴카드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감면</t>
        </r>
        <r>
          <rPr>
            <sz val="9"/>
            <color indexed="81"/>
            <rFont val="Tahoma"/>
            <family val="2"/>
          </rPr>
          <t xml:space="preserve"> -15,000
</t>
        </r>
      </text>
    </comment>
    <comment ref="C97" authorId="0" shapeId="0" xr:uid="{6B175220-E13F-4E9C-B9B1-E29233DBD223}">
      <text>
        <r>
          <rPr>
            <b/>
            <sz val="9"/>
            <color indexed="81"/>
            <rFont val="돋움"/>
            <family val="3"/>
            <charset val="129"/>
          </rPr>
          <t>타이어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
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인테리어
시스템에어컨설치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냉난방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가구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전자제품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</text>
    </comment>
    <comment ref="E98" authorId="0" shapeId="0" xr:uid="{5C0C21D6-B87B-4B21-B447-E1DF9D76E443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부부가구 감액 : 0%
금액인상 / 하후상박 적용가능 : 수령액 인상
 : 년1% 인상으로 고려함</t>
        </r>
      </text>
    </comment>
    <comment ref="C100" authorId="0" shapeId="0" xr:uid="{F0C0FCBF-F148-43C5-9DEE-C93ABDE20A69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위해총액관리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애들에게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생활비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등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이경우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이자금액은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감소할것임</t>
        </r>
      </text>
    </comment>
    <comment ref="E100" authorId="0" shapeId="0" xr:uid="{0EABE9DD-83A5-4E3B-A71E-104A916554A2}">
      <text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</text>
    </comment>
    <comment ref="C102" authorId="0" shapeId="0" xr:uid="{50061B20-0896-49BA-B0B8-A5331EE4CC58}">
      <text>
        <r>
          <rPr>
            <b/>
            <sz val="9"/>
            <color indexed="81"/>
            <rFont val="돋움"/>
            <family val="3"/>
            <charset val="129"/>
          </rPr>
          <t>재해사망시는</t>
        </r>
        <r>
          <rPr>
            <b/>
            <sz val="9"/>
            <color indexed="81"/>
            <rFont val="Tahoma"/>
            <family val="2"/>
          </rPr>
          <t xml:space="preserve"> 3.5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C104" authorId="0" shapeId="0" xr:uid="{3A673812-F6F8-453A-AD63-B9A03FE1D3B1}">
      <text>
        <r>
          <rPr>
            <b/>
            <sz val="9"/>
            <color indexed="81"/>
            <rFont val="돋움"/>
            <family val="3"/>
            <charset val="129"/>
          </rPr>
          <t>재해사망시는</t>
        </r>
        <r>
          <rPr>
            <b/>
            <sz val="9"/>
            <color indexed="81"/>
            <rFont val="Tahoma"/>
            <family val="2"/>
          </rPr>
          <t xml:space="preserve"> 3.5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D104" authorId="0" shapeId="0" xr:uid="{717CBCC3-8201-4AF8-8350-0B4D427F3FB7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금융소득</t>
        </r>
        <r>
          <rPr>
            <b/>
            <sz val="9"/>
            <color indexed="81"/>
            <rFont val="Tahoma"/>
            <family val="2"/>
          </rPr>
          <t xml:space="preserve"> 2,000</t>
        </r>
        <r>
          <rPr>
            <b/>
            <sz val="9"/>
            <color indexed="81"/>
            <rFont val="돋움"/>
            <family val="3"/>
            <charset val="129"/>
          </rPr>
          <t>먼원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제외됨</t>
        </r>
        <r>
          <rPr>
            <sz val="9"/>
            <color indexed="81"/>
            <rFont val="Tahoma"/>
            <family val="2"/>
          </rPr>
          <t xml:space="preserve">
 - </t>
        </r>
        <r>
          <rPr>
            <sz val="9"/>
            <color indexed="81"/>
            <rFont val="돋움"/>
            <family val="3"/>
            <charset val="129"/>
          </rPr>
          <t>이자율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4%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예금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
주택연금은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대출이자를
금융소득에서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있으나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안전하게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현금예금은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미만으로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G110" authorId="0" shapeId="0" xr:uid="{F41A9D7A-CF63-4A79-BBC3-B867FBF32481}">
      <text>
        <r>
          <rPr>
            <sz val="9"/>
            <color indexed="81"/>
            <rFont val="돋움"/>
            <family val="3"/>
            <charset val="129"/>
          </rPr>
          <t>웅진코웨이</t>
        </r>
        <r>
          <rPr>
            <sz val="9"/>
            <color indexed="81"/>
            <rFont val="Tahoma"/>
            <family val="2"/>
          </rPr>
          <t xml:space="preserve"> : 26/5/4 </t>
        </r>
        <r>
          <rPr>
            <sz val="9"/>
            <color indexed="81"/>
            <rFont val="돋움"/>
            <family val="3"/>
            <charset val="129"/>
          </rPr>
          <t>신규국민카드로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고객센터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통화
</t>
        </r>
        <r>
          <rPr>
            <u/>
            <sz val="9"/>
            <color indexed="81"/>
            <rFont val="돋움"/>
            <family val="3"/>
            <charset val="129"/>
          </rPr>
          <t xml:space="preserve">
사용료</t>
        </r>
        <r>
          <rPr>
            <u/>
            <sz val="9"/>
            <color indexed="81"/>
            <rFont val="Tahoma"/>
            <family val="2"/>
          </rPr>
          <t xml:space="preserve"> : -26.5</t>
        </r>
        <r>
          <rPr>
            <u/>
            <sz val="9"/>
            <color indexed="81"/>
            <rFont val="돋움"/>
            <family val="3"/>
            <charset val="129"/>
          </rPr>
          <t>월</t>
        </r>
        <r>
          <rPr>
            <u/>
            <sz val="9"/>
            <color indexed="81"/>
            <rFont val="Tahoma"/>
            <family val="2"/>
          </rPr>
          <t xml:space="preserve"> 64,210 / 26.6</t>
        </r>
        <r>
          <rPr>
            <u/>
            <sz val="9"/>
            <color indexed="81"/>
            <rFont val="돋움"/>
            <family val="3"/>
            <charset val="129"/>
          </rPr>
          <t>월부터</t>
        </r>
        <r>
          <rPr>
            <u/>
            <sz val="9"/>
            <color indexed="81"/>
            <rFont val="Tahoma"/>
            <family val="2"/>
          </rPr>
          <t xml:space="preserve"> 81,490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정수기</t>
        </r>
        <r>
          <rPr>
            <sz val="9"/>
            <color indexed="81"/>
            <rFont val="Tahoma"/>
            <family val="2"/>
          </rPr>
          <t xml:space="preserve"> 28,600
 - </t>
        </r>
        <r>
          <rPr>
            <sz val="9"/>
            <color indexed="81"/>
            <rFont val="돋움"/>
            <family val="3"/>
            <charset val="129"/>
          </rPr>
          <t>공기청정기</t>
        </r>
        <r>
          <rPr>
            <sz val="9"/>
            <color indexed="81"/>
            <rFont val="Tahoma"/>
            <family val="2"/>
          </rPr>
          <t xml:space="preserve"> 31,710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) 18,900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) 17,280 (26.2-5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면제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</t>
        </r>
        <r>
          <rPr>
            <sz val="9"/>
            <color indexed="81"/>
            <rFont val="Tahoma"/>
            <family val="2"/>
          </rPr>
          <t xml:space="preserve">)
 - </t>
        </r>
        <r>
          <rPr>
            <sz val="9"/>
            <color indexed="81"/>
            <rFont val="돋움"/>
            <family val="3"/>
            <charset val="129"/>
          </rPr>
          <t>제휴카드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감면</t>
        </r>
        <r>
          <rPr>
            <sz val="9"/>
            <color indexed="81"/>
            <rFont val="Tahoma"/>
            <family val="2"/>
          </rPr>
          <t xml:space="preserve"> -15,000
</t>
        </r>
      </text>
    </comment>
    <comment ref="E112" authorId="0" shapeId="0" xr:uid="{D0B45899-E8AD-49CE-A8B7-1DC186B2998C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부부가구 감액 : 0%
금액인상 / 하후상박 적용가능 : 수령액 인상
 : 년1% 인상으로 고려함</t>
        </r>
      </text>
    </comment>
    <comment ref="C114" authorId="0" shapeId="0" xr:uid="{15BF0E89-5B1E-4C7E-8CFD-A083268E4B62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위해총액관리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애들에게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생활비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등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이경우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이자금액은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감소할것임</t>
        </r>
      </text>
    </comment>
    <comment ref="E114" authorId="0" shapeId="0" xr:uid="{534CD713-A5FB-431B-B6D0-332EC37A9087}">
      <text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</text>
    </comment>
    <comment ref="C116" authorId="0" shapeId="0" xr:uid="{556912BB-92C8-4772-AC26-61A003CB125F}">
      <text>
        <r>
          <rPr>
            <b/>
            <sz val="9"/>
            <color indexed="81"/>
            <rFont val="돋움"/>
            <family val="3"/>
            <charset val="129"/>
          </rPr>
          <t>재해사망시는</t>
        </r>
        <r>
          <rPr>
            <b/>
            <sz val="9"/>
            <color indexed="81"/>
            <rFont val="Tahoma"/>
            <family val="2"/>
          </rPr>
          <t xml:space="preserve"> 3.5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C118" authorId="0" shapeId="0" xr:uid="{1A88D1A9-293E-4438-9959-8E62C71F1DA9}">
      <text>
        <r>
          <rPr>
            <b/>
            <sz val="9"/>
            <color indexed="81"/>
            <rFont val="돋움"/>
            <family val="3"/>
            <charset val="129"/>
          </rPr>
          <t>재해사망시는</t>
        </r>
        <r>
          <rPr>
            <b/>
            <sz val="9"/>
            <color indexed="81"/>
            <rFont val="Tahoma"/>
            <family val="2"/>
          </rPr>
          <t xml:space="preserve"> 3.5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D118" authorId="0" shapeId="0" xr:uid="{B32F9C63-0F08-47D2-9B31-A17565A176B7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금융소득</t>
        </r>
        <r>
          <rPr>
            <b/>
            <sz val="9"/>
            <color indexed="81"/>
            <rFont val="Tahoma"/>
            <family val="2"/>
          </rPr>
          <t xml:space="preserve"> 2,000</t>
        </r>
        <r>
          <rPr>
            <b/>
            <sz val="9"/>
            <color indexed="81"/>
            <rFont val="돋움"/>
            <family val="3"/>
            <charset val="129"/>
          </rPr>
          <t>먼원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제외됨</t>
        </r>
        <r>
          <rPr>
            <sz val="9"/>
            <color indexed="81"/>
            <rFont val="Tahoma"/>
            <family val="2"/>
          </rPr>
          <t xml:space="preserve">
 - </t>
        </r>
        <r>
          <rPr>
            <sz val="9"/>
            <color indexed="81"/>
            <rFont val="돋움"/>
            <family val="3"/>
            <charset val="129"/>
          </rPr>
          <t>이자율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4%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예금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
주택연금은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대출이자를
금융소득에서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있으나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안전하게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현금예금은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미만으로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E126" authorId="0" shapeId="0" xr:uid="{CBA8EFBA-59D0-4A9D-85ED-753E13B3DC5B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부부가구 감액 : 0%
금액인상 / 하후상박 적용가능 : 수령액 인상
 : 년1% 인상으로 고려함</t>
        </r>
      </text>
    </comment>
    <comment ref="C127" authorId="0" shapeId="0" xr:uid="{6D584FC8-9D94-400F-B563-F527DB6D0F65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위해총액관리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애들에게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생활비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등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이경우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이자금액은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감소할것임</t>
        </r>
      </text>
    </comment>
    <comment ref="D131" authorId="0" shapeId="0" xr:uid="{E5D83740-E450-4065-B7CD-50724C69F58C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금융소득</t>
        </r>
        <r>
          <rPr>
            <b/>
            <sz val="9"/>
            <color indexed="81"/>
            <rFont val="Tahoma"/>
            <family val="2"/>
          </rPr>
          <t xml:space="preserve"> 2,000</t>
        </r>
        <r>
          <rPr>
            <b/>
            <sz val="9"/>
            <color indexed="81"/>
            <rFont val="돋움"/>
            <family val="3"/>
            <charset val="129"/>
          </rPr>
          <t>먼원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제외됨</t>
        </r>
        <r>
          <rPr>
            <sz val="9"/>
            <color indexed="81"/>
            <rFont val="Tahoma"/>
            <family val="2"/>
          </rPr>
          <t xml:space="preserve">
 - </t>
        </r>
        <r>
          <rPr>
            <sz val="9"/>
            <color indexed="81"/>
            <rFont val="돋움"/>
            <family val="3"/>
            <charset val="129"/>
          </rPr>
          <t>이자율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4%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예금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
주택연금은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대출이자를
금융소득에서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있으나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안전하게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현금예금은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미만으로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E139" authorId="0" shapeId="0" xr:uid="{ADC3566D-B5FC-4547-93E1-907446A5B7DB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부부가구 감액 : 0%
금액인상 / 하후상박 적용가능 : 수령액 인상
 : 년1% 인상으로 고려함</t>
        </r>
      </text>
    </comment>
    <comment ref="C140" authorId="0" shapeId="0" xr:uid="{8C16EAB0-B027-46D2-89D1-A59878A2C1DE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위해총액관리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애들에게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생활비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등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이경우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이자금액은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감소할것임</t>
        </r>
      </text>
    </comment>
    <comment ref="D144" authorId="0" shapeId="0" xr:uid="{020E1B63-A3B9-4F23-AEE6-EF101EE6077D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금융소득</t>
        </r>
        <r>
          <rPr>
            <b/>
            <sz val="9"/>
            <color indexed="81"/>
            <rFont val="Tahoma"/>
            <family val="2"/>
          </rPr>
          <t xml:space="preserve"> 2,000</t>
        </r>
        <r>
          <rPr>
            <b/>
            <sz val="9"/>
            <color indexed="81"/>
            <rFont val="돋움"/>
            <family val="3"/>
            <charset val="129"/>
          </rPr>
          <t>먼원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제외됨</t>
        </r>
        <r>
          <rPr>
            <sz val="9"/>
            <color indexed="81"/>
            <rFont val="Tahoma"/>
            <family val="2"/>
          </rPr>
          <t xml:space="preserve">
 - </t>
        </r>
        <r>
          <rPr>
            <sz val="9"/>
            <color indexed="81"/>
            <rFont val="돋움"/>
            <family val="3"/>
            <charset val="129"/>
          </rPr>
          <t>이자율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4%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예금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
주택연금은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대출이자를
금융소득에서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있으나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안전하게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현금예금은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미만으로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E152" authorId="0" shapeId="0" xr:uid="{17924DC7-E54F-41D4-A0BA-9871776BAE1A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부부가구 감액 : 0%
금액인상 / 하후상박 적용가능 : 수령액 인상
 : 년1% 인상으로 고려함</t>
        </r>
      </text>
    </comment>
    <comment ref="C153" authorId="0" shapeId="0" xr:uid="{D7CC6D95-B68D-4028-8AC1-18B4E14503E3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위해총액관리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애들에게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생활비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등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이경우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이자금액은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감소할것임</t>
        </r>
      </text>
    </comment>
    <comment ref="D157" authorId="0" shapeId="0" xr:uid="{F57375F4-8F71-48EC-B869-FA1255BDAA5C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금융소득</t>
        </r>
        <r>
          <rPr>
            <b/>
            <sz val="9"/>
            <color indexed="81"/>
            <rFont val="Tahoma"/>
            <family val="2"/>
          </rPr>
          <t xml:space="preserve"> 2,000</t>
        </r>
        <r>
          <rPr>
            <b/>
            <sz val="9"/>
            <color indexed="81"/>
            <rFont val="돋움"/>
            <family val="3"/>
            <charset val="129"/>
          </rPr>
          <t>먼원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제외됨</t>
        </r>
        <r>
          <rPr>
            <sz val="9"/>
            <color indexed="81"/>
            <rFont val="Tahoma"/>
            <family val="2"/>
          </rPr>
          <t xml:space="preserve">
 - </t>
        </r>
        <r>
          <rPr>
            <sz val="9"/>
            <color indexed="81"/>
            <rFont val="돋움"/>
            <family val="3"/>
            <charset val="129"/>
          </rPr>
          <t>이자율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4%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예금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
주택연금은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대출이자를
금융소득에서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있으나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안전하게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현금예금은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미만으로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C19" authorId="0" shapeId="0" xr:uid="{27B39601-6011-4B4B-8A80-5FB6DC6141CC}">
      <text>
        <r>
          <rPr>
            <b/>
            <sz val="9"/>
            <color indexed="81"/>
            <rFont val="Tahoma"/>
            <family val="2"/>
          </rPr>
          <t xml:space="preserve">12/19 </t>
        </r>
        <r>
          <rPr>
            <b/>
            <sz val="9"/>
            <color indexed="81"/>
            <rFont val="돋움"/>
            <family val="3"/>
            <charset val="129"/>
          </rPr>
          <t>가용잔액</t>
        </r>
        <r>
          <rPr>
            <b/>
            <sz val="9"/>
            <color indexed="81"/>
            <rFont val="Tahoma"/>
            <family val="2"/>
          </rPr>
          <t xml:space="preserve"> : 1,700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KC</t>
        </r>
        <r>
          <rPr>
            <b/>
            <sz val="9"/>
            <color indexed="81"/>
            <rFont val="돋움"/>
            <family val="3"/>
            <charset val="129"/>
          </rPr>
          <t>정리금</t>
        </r>
        <r>
          <rPr>
            <b/>
            <sz val="9"/>
            <color indexed="81"/>
            <rFont val="Tahoma"/>
            <family val="2"/>
          </rPr>
          <t xml:space="preserve"> 5,500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 xml:space="preserve">   + </t>
        </r>
        <r>
          <rPr>
            <b/>
            <sz val="9"/>
            <color indexed="81"/>
            <rFont val="돋움"/>
            <family val="3"/>
            <charset val="129"/>
          </rPr>
          <t>기존잔금</t>
        </r>
        <r>
          <rPr>
            <b/>
            <sz val="9"/>
            <color indexed="81"/>
            <rFont val="Tahoma"/>
            <family val="2"/>
          </rPr>
          <t xml:space="preserve"> : 2,200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장모님</t>
        </r>
        <r>
          <rPr>
            <b/>
            <sz val="9"/>
            <color indexed="81"/>
            <rFont val="Tahoma"/>
            <family val="2"/>
          </rPr>
          <t xml:space="preserve"> 1,500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)
 - 12/18 </t>
        </r>
        <r>
          <rPr>
            <b/>
            <sz val="9"/>
            <color indexed="81"/>
            <rFont val="돋움"/>
            <family val="3"/>
            <charset val="129"/>
          </rPr>
          <t>보험대출상환</t>
        </r>
        <r>
          <rPr>
            <b/>
            <sz val="9"/>
            <color indexed="81"/>
            <rFont val="Tahoma"/>
            <family val="2"/>
          </rPr>
          <t xml:space="preserve"> -5,000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전액</t>
        </r>
        <r>
          <rPr>
            <b/>
            <sz val="9"/>
            <color indexed="81"/>
            <rFont val="Tahoma"/>
            <family val="2"/>
          </rPr>
          <t xml:space="preserve">)
 - </t>
        </r>
        <r>
          <rPr>
            <b/>
            <sz val="9"/>
            <color indexed="81"/>
            <rFont val="돋움"/>
            <family val="3"/>
            <charset val="129"/>
          </rPr>
          <t>법인용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개인카드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상환용</t>
        </r>
        <r>
          <rPr>
            <b/>
            <sz val="9"/>
            <color indexed="81"/>
            <rFont val="Tahoma"/>
            <family val="2"/>
          </rPr>
          <t xml:space="preserve"> -850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경희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카드할부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상환용</t>
        </r>
        <r>
          <rPr>
            <b/>
            <sz val="9"/>
            <color indexed="81"/>
            <rFont val="Tahoma"/>
            <family val="2"/>
          </rPr>
          <t xml:space="preserve"> -150</t>
        </r>
        <r>
          <rPr>
            <b/>
            <sz val="9"/>
            <color indexed="81"/>
            <rFont val="돋움"/>
            <family val="3"/>
            <charset val="129"/>
          </rPr>
          <t>만
주식투자잔액</t>
        </r>
        <r>
          <rPr>
            <b/>
            <sz val="9"/>
            <color indexed="81"/>
            <rFont val="Tahoma"/>
            <family val="2"/>
          </rPr>
          <t xml:space="preserve"> : 1,000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경희모름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실잔액</t>
        </r>
        <r>
          <rPr>
            <b/>
            <sz val="9"/>
            <color indexed="81"/>
            <rFont val="Tahoma"/>
            <family val="2"/>
          </rPr>
          <t xml:space="preserve"> : 2,940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1/27 </t>
        </r>
        <r>
          <rPr>
            <b/>
            <sz val="9"/>
            <color indexed="81"/>
            <rFont val="돋움"/>
            <family val="3"/>
            <charset val="129"/>
          </rPr>
          <t>주식수익금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이체</t>
        </r>
        <r>
          <rPr>
            <b/>
            <sz val="9"/>
            <color indexed="81"/>
            <rFont val="Tahoma"/>
            <family val="2"/>
          </rPr>
          <t xml:space="preserve"> 4,000,000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>520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수익중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갑철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옷구매</t>
        </r>
        <r>
          <rPr>
            <b/>
            <sz val="9"/>
            <color indexed="81"/>
            <rFont val="Tahoma"/>
            <family val="2"/>
          </rPr>
          <t xml:space="preserve"> 120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제외
</t>
        </r>
      </text>
    </comment>
    <comment ref="C20" authorId="0" shapeId="0" xr:uid="{17B101AF-1182-4AC2-92D0-6EB43446F58E}">
      <text>
        <r>
          <rPr>
            <b/>
            <sz val="9"/>
            <color indexed="81"/>
            <rFont val="Tahoma"/>
            <family val="2"/>
          </rPr>
          <t>25/12/17 5,500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경희</t>
        </r>
        <r>
          <rPr>
            <b/>
            <sz val="9"/>
            <color indexed="81"/>
            <rFont val="Tahoma"/>
            <family val="2"/>
          </rPr>
          <t>)
+</t>
        </r>
        <r>
          <rPr>
            <b/>
            <sz val="9"/>
            <color indexed="81"/>
            <rFont val="돋움"/>
            <family val="3"/>
            <charset val="129"/>
          </rPr>
          <t>주식계좌</t>
        </r>
        <r>
          <rPr>
            <b/>
            <sz val="9"/>
            <color indexed="81"/>
            <rFont val="Tahoma"/>
            <family val="2"/>
          </rPr>
          <t xml:space="preserve"> 1,300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(200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손실</t>
        </r>
        <r>
          <rPr>
            <b/>
            <sz val="9"/>
            <color indexed="81"/>
            <rFont val="Tahoma"/>
            <family val="2"/>
          </rPr>
          <t xml:space="preserve">)
26/1/7 </t>
        </r>
        <r>
          <rPr>
            <b/>
            <sz val="9"/>
            <color indexed="81"/>
            <rFont val="돋움"/>
            <family val="3"/>
            <charset val="129"/>
          </rPr>
          <t>주식투자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: 3,200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정리잔금</t>
        </r>
        <r>
          <rPr>
            <b/>
            <sz val="9"/>
            <color indexed="81"/>
            <rFont val="Tahoma"/>
            <family val="2"/>
          </rPr>
          <t xml:space="preserve"> 1,300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경희계좌</t>
        </r>
        <r>
          <rPr>
            <b/>
            <sz val="9"/>
            <color indexed="81"/>
            <rFont val="Tahoma"/>
            <family val="2"/>
          </rPr>
          <t xml:space="preserve"> 1,000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보함대출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갑철</t>
        </r>
        <r>
          <rPr>
            <b/>
            <sz val="9"/>
            <color indexed="81"/>
            <rFont val="Tahoma"/>
            <family val="2"/>
          </rPr>
          <t>) 900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>937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23" authorId="0" shapeId="0" xr:uid="{078467B2-EEFA-45AA-BE44-72700671C7E7}">
      <text>
        <r>
          <rPr>
            <b/>
            <sz val="9"/>
            <color indexed="81"/>
            <rFont val="돋움"/>
            <family val="3"/>
            <charset val="129"/>
          </rPr>
          <t>기본급</t>
        </r>
        <r>
          <rPr>
            <b/>
            <sz val="9"/>
            <color indexed="81"/>
            <rFont val="Tahoma"/>
            <family val="2"/>
          </rPr>
          <t xml:space="preserve"> 250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잔업</t>
        </r>
        <r>
          <rPr>
            <b/>
            <sz val="9"/>
            <color indexed="81"/>
            <rFont val="Tahoma"/>
            <family val="2"/>
          </rPr>
          <t xml:space="preserve"> 33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식대</t>
        </r>
        <r>
          <rPr>
            <b/>
            <sz val="9"/>
            <color indexed="81"/>
            <rFont val="Tahoma"/>
            <family val="2"/>
          </rPr>
          <t xml:space="preserve"> -10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</t>
        </r>
      </text>
    </comment>
    <comment ref="C24" authorId="0" shapeId="0" xr:uid="{98800B48-A1D8-4C3D-802F-54D7013DAD11}">
      <text>
        <r>
          <rPr>
            <b/>
            <sz val="9"/>
            <color indexed="81"/>
            <rFont val="Tahoma"/>
            <family val="2"/>
          </rPr>
          <t xml:space="preserve">26/1/6 </t>
        </r>
        <r>
          <rPr>
            <b/>
            <sz val="9"/>
            <color indexed="81"/>
            <rFont val="돋움"/>
            <family val="3"/>
            <charset val="129"/>
          </rPr>
          <t>갑철보험</t>
        </r>
        <r>
          <rPr>
            <b/>
            <sz val="9"/>
            <color indexed="81"/>
            <rFont val="Tahoma"/>
            <family val="2"/>
          </rPr>
          <t xml:space="preserve"> 937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대출진행</t>
        </r>
        <r>
          <rPr>
            <b/>
            <sz val="9"/>
            <color indexed="81"/>
            <rFont val="Tahoma"/>
            <family val="2"/>
          </rPr>
          <t xml:space="preserve">(4.0%)
 - </t>
        </r>
        <r>
          <rPr>
            <b/>
            <sz val="9"/>
            <color indexed="81"/>
            <rFont val="돋움"/>
            <family val="3"/>
            <charset val="129"/>
          </rPr>
          <t>삼성전자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하이닉스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주식투자
현금부족시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돋움"/>
            <family val="3"/>
            <charset val="129"/>
          </rPr>
          <t>대출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진행필요</t>
        </r>
      </text>
    </comment>
    <comment ref="G24" authorId="0" shapeId="0" xr:uid="{6AA4512F-98CB-4CF4-BD0A-C321A04BAF59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월말</t>
        </r>
        <r>
          <rPr>
            <b/>
            <sz val="9"/>
            <color indexed="81"/>
            <rFont val="Tahoma"/>
            <family val="2"/>
          </rPr>
          <t xml:space="preserve"> 60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납부</t>
        </r>
      </text>
    </comment>
    <comment ref="E25" authorId="0" shapeId="0" xr:uid="{BACF9F19-B153-451C-B82A-5CC4292672E0}">
      <text>
        <r>
          <rPr>
            <b/>
            <sz val="9"/>
            <color indexed="81"/>
            <rFont val="Tahoma"/>
            <family val="2"/>
          </rPr>
          <t xml:space="preserve">26/1/7 </t>
        </r>
        <r>
          <rPr>
            <b/>
            <sz val="9"/>
            <color indexed="81"/>
            <rFont val="돋움"/>
            <family val="3"/>
            <charset val="129"/>
          </rPr>
          <t>주식투자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: 3,200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정리잔금</t>
        </r>
        <r>
          <rPr>
            <b/>
            <sz val="9"/>
            <color indexed="81"/>
            <rFont val="Tahoma"/>
            <family val="2"/>
          </rPr>
          <t xml:space="preserve"> 1,300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경희계좌</t>
        </r>
        <r>
          <rPr>
            <b/>
            <sz val="9"/>
            <color indexed="81"/>
            <rFont val="Tahoma"/>
            <family val="2"/>
          </rPr>
          <t xml:space="preserve"> 1,000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보함대출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갑철</t>
        </r>
        <r>
          <rPr>
            <b/>
            <sz val="9"/>
            <color indexed="81"/>
            <rFont val="Tahoma"/>
            <family val="2"/>
          </rPr>
          <t>) 900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>937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</t>
        </r>
        <r>
          <rPr>
            <b/>
            <sz val="9"/>
            <color indexed="81"/>
            <rFont val="Tahoma"/>
            <family val="2"/>
          </rPr>
          <t>)
26/1/14 100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>3,300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처형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폐차수익금</t>
        </r>
        <r>
          <rPr>
            <b/>
            <sz val="9"/>
            <color indexed="81"/>
            <rFont val="Tahoma"/>
            <family val="2"/>
          </rPr>
          <t xml:space="preserve"> 120</t>
        </r>
        <r>
          <rPr>
            <b/>
            <sz val="9"/>
            <color indexed="81"/>
            <rFont val="돋움"/>
            <family val="3"/>
            <charset val="129"/>
          </rPr>
          <t xml:space="preserve">만원중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사용했으니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폐차수익은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사용하라고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</text>
    </comment>
    <comment ref="E26" authorId="0" shapeId="0" xr:uid="{6B9203D7-2D91-4CA3-9826-FFC1A0047A76}">
      <text>
        <r>
          <rPr>
            <b/>
            <sz val="9"/>
            <color indexed="81"/>
            <rFont val="Tahoma"/>
            <family val="2"/>
          </rPr>
          <t xml:space="preserve">26/1/7 </t>
        </r>
        <r>
          <rPr>
            <b/>
            <sz val="9"/>
            <color indexed="81"/>
            <rFont val="돋움"/>
            <family val="3"/>
            <charset val="129"/>
          </rPr>
          <t>주식투자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: 3,200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정리잔금</t>
        </r>
        <r>
          <rPr>
            <b/>
            <sz val="9"/>
            <color indexed="81"/>
            <rFont val="Tahoma"/>
            <family val="2"/>
          </rPr>
          <t xml:space="preserve"> 1,300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경희계좌</t>
        </r>
        <r>
          <rPr>
            <b/>
            <sz val="9"/>
            <color indexed="81"/>
            <rFont val="Tahoma"/>
            <family val="2"/>
          </rPr>
          <t xml:space="preserve"> 1,000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보함대출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갑철</t>
        </r>
        <r>
          <rPr>
            <b/>
            <sz val="9"/>
            <color indexed="81"/>
            <rFont val="Tahoma"/>
            <family val="2"/>
          </rPr>
          <t>) 900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>937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</t>
        </r>
        <r>
          <rPr>
            <b/>
            <sz val="9"/>
            <color indexed="81"/>
            <rFont val="Tahoma"/>
            <family val="2"/>
          </rPr>
          <t>)
26/1/14 100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>3,300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처형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폐차수익금</t>
        </r>
        <r>
          <rPr>
            <b/>
            <sz val="9"/>
            <color indexed="81"/>
            <rFont val="Tahoma"/>
            <family val="2"/>
          </rPr>
          <t xml:space="preserve"> 120</t>
        </r>
        <r>
          <rPr>
            <b/>
            <sz val="9"/>
            <color indexed="81"/>
            <rFont val="돋움"/>
            <family val="3"/>
            <charset val="129"/>
          </rPr>
          <t xml:space="preserve">만원중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사용했으니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폐차수익은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사용하라고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</text>
    </comment>
    <comment ref="C37" authorId="0" shapeId="0" xr:uid="{2BDD627B-08E1-4385-8CB1-D5453EFB5C9B}">
      <text>
        <r>
          <rPr>
            <b/>
            <sz val="9"/>
            <color indexed="81"/>
            <rFont val="Tahoma"/>
            <family val="2"/>
          </rPr>
          <t>26.5.6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: 120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사용
</t>
        </r>
        <r>
          <rPr>
            <b/>
            <sz val="9"/>
            <color indexed="81"/>
            <rFont val="Tahoma"/>
            <family val="2"/>
          </rPr>
          <t xml:space="preserve"># </t>
        </r>
        <r>
          <rPr>
            <b/>
            <sz val="9"/>
            <color indexed="81"/>
            <rFont val="돋움"/>
            <family val="3"/>
            <charset val="129"/>
          </rPr>
          <t>일상생활은</t>
        </r>
        <r>
          <rPr>
            <b/>
            <sz val="9"/>
            <color indexed="81"/>
            <rFont val="Tahoma"/>
            <family val="2"/>
          </rPr>
          <t xml:space="preserve"> 100-120</t>
        </r>
        <r>
          <rPr>
            <b/>
            <sz val="9"/>
            <color indexed="81"/>
            <rFont val="돋움"/>
            <family val="3"/>
            <charset val="129"/>
          </rPr>
          <t>만원으로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가능판단
</t>
        </r>
        <r>
          <rPr>
            <b/>
            <sz val="9"/>
            <color indexed="81"/>
            <rFont val="Tahoma"/>
            <family val="2"/>
          </rPr>
          <t xml:space="preserve">   -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30-50</t>
        </r>
        <r>
          <rPr>
            <b/>
            <sz val="9"/>
            <color indexed="81"/>
            <rFont val="돋움"/>
            <family val="3"/>
            <charset val="129"/>
          </rPr>
          <t>만원은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비일상적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사용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적립이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것임</t>
        </r>
      </text>
    </comment>
    <comment ref="C38" authorId="0" shapeId="0" xr:uid="{1E3CA679-5BB5-4D8C-A25F-CA207100A34A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경희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 xml:space="preserve">개월분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갑철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개월분</t>
        </r>
      </text>
    </comment>
    <comment ref="G38" authorId="0" shapeId="0" xr:uid="{EF4EB4E0-288C-4DC8-A330-4E9B6841199A}">
      <text>
        <r>
          <rPr>
            <sz val="9"/>
            <color indexed="81"/>
            <rFont val="돋움"/>
            <family val="3"/>
            <charset val="129"/>
          </rPr>
          <t>웅진코웨이</t>
        </r>
        <r>
          <rPr>
            <sz val="9"/>
            <color indexed="81"/>
            <rFont val="Tahoma"/>
            <family val="2"/>
          </rPr>
          <t xml:space="preserve"> : 26/5/4 </t>
        </r>
        <r>
          <rPr>
            <sz val="9"/>
            <color indexed="81"/>
            <rFont val="돋움"/>
            <family val="3"/>
            <charset val="129"/>
          </rPr>
          <t>신규국민카드로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고객센터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통화
</t>
        </r>
        <r>
          <rPr>
            <u/>
            <sz val="9"/>
            <color indexed="81"/>
            <rFont val="돋움"/>
            <family val="3"/>
            <charset val="129"/>
          </rPr>
          <t xml:space="preserve">
사용료</t>
        </r>
        <r>
          <rPr>
            <u/>
            <sz val="9"/>
            <color indexed="81"/>
            <rFont val="Tahoma"/>
            <family val="2"/>
          </rPr>
          <t xml:space="preserve"> : -26.5</t>
        </r>
        <r>
          <rPr>
            <u/>
            <sz val="9"/>
            <color indexed="81"/>
            <rFont val="돋움"/>
            <family val="3"/>
            <charset val="129"/>
          </rPr>
          <t>월</t>
        </r>
        <r>
          <rPr>
            <u/>
            <sz val="9"/>
            <color indexed="81"/>
            <rFont val="Tahoma"/>
            <family val="2"/>
          </rPr>
          <t xml:space="preserve"> 64,210 / 26.6</t>
        </r>
        <r>
          <rPr>
            <u/>
            <sz val="9"/>
            <color indexed="81"/>
            <rFont val="돋움"/>
            <family val="3"/>
            <charset val="129"/>
          </rPr>
          <t>월부터</t>
        </r>
        <r>
          <rPr>
            <u/>
            <sz val="9"/>
            <color indexed="81"/>
            <rFont val="Tahoma"/>
            <family val="2"/>
          </rPr>
          <t xml:space="preserve"> 81,490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정수기</t>
        </r>
        <r>
          <rPr>
            <sz val="9"/>
            <color indexed="81"/>
            <rFont val="Tahoma"/>
            <family val="2"/>
          </rPr>
          <t xml:space="preserve"> 28,600
 - </t>
        </r>
        <r>
          <rPr>
            <sz val="9"/>
            <color indexed="81"/>
            <rFont val="돋움"/>
            <family val="3"/>
            <charset val="129"/>
          </rPr>
          <t>공기청정기</t>
        </r>
        <r>
          <rPr>
            <sz val="9"/>
            <color indexed="81"/>
            <rFont val="Tahoma"/>
            <family val="2"/>
          </rPr>
          <t xml:space="preserve"> 31,710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) 18,900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) 17,280 (26.2-5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면제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</t>
        </r>
        <r>
          <rPr>
            <sz val="9"/>
            <color indexed="81"/>
            <rFont val="Tahoma"/>
            <family val="2"/>
          </rPr>
          <t xml:space="preserve">)
 - </t>
        </r>
        <r>
          <rPr>
            <sz val="9"/>
            <color indexed="81"/>
            <rFont val="돋움"/>
            <family val="3"/>
            <charset val="129"/>
          </rPr>
          <t>제휴카드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감면</t>
        </r>
        <r>
          <rPr>
            <sz val="9"/>
            <color indexed="81"/>
            <rFont val="Tahoma"/>
            <family val="2"/>
          </rPr>
          <t xml:space="preserve"> -15,000
</t>
        </r>
      </text>
    </comment>
    <comment ref="E39" authorId="0" shapeId="0" xr:uid="{FDE9592A-6E0F-45F2-B604-3CD15C954D78}">
      <text>
        <r>
          <rPr>
            <b/>
            <sz val="9"/>
            <color indexed="81"/>
            <rFont val="Tahoma"/>
            <family val="2"/>
          </rPr>
          <t>26/4/29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첫입금</t>
        </r>
        <r>
          <rPr>
            <b/>
            <sz val="9"/>
            <color indexed="81"/>
            <rFont val="Tahoma"/>
            <family val="2"/>
          </rPr>
          <t xml:space="preserve"> 220</t>
        </r>
        <r>
          <rPr>
            <b/>
            <sz val="9"/>
            <color indexed="81"/>
            <rFont val="돋움"/>
            <family val="3"/>
            <charset val="129"/>
          </rPr>
          <t>만
이후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매월</t>
        </r>
        <r>
          <rPr>
            <b/>
            <sz val="9"/>
            <color indexed="81"/>
            <rFont val="Tahoma"/>
            <family val="2"/>
          </rPr>
          <t xml:space="preserve"> 29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입금예정
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국민은행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계좌
</t>
        </r>
        <r>
          <rPr>
            <b/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돋움"/>
            <family val="3"/>
            <charset val="129"/>
          </rPr>
          <t>국민연금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 xml:space="preserve">기초연금도
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국민은행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계좌로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변경함</t>
        </r>
      </text>
    </comment>
    <comment ref="C40" authorId="0" shapeId="0" xr:uid="{176EA7CB-9500-490A-AD70-0AB939F645F9}">
      <text>
        <r>
          <rPr>
            <b/>
            <sz val="9"/>
            <color indexed="81"/>
            <rFont val="돋움"/>
            <family val="3"/>
            <charset val="129"/>
          </rPr>
          <t>사무실준비</t>
        </r>
        <r>
          <rPr>
            <b/>
            <sz val="9"/>
            <color indexed="81"/>
            <rFont val="Tahoma"/>
            <family val="2"/>
          </rPr>
          <t xml:space="preserve"> 173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청소</t>
        </r>
        <r>
          <rPr>
            <b/>
            <sz val="9"/>
            <color indexed="81"/>
            <rFont val="Tahoma"/>
            <family val="2"/>
          </rPr>
          <t xml:space="preserve"> 23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가구</t>
        </r>
        <r>
          <rPr>
            <b/>
            <sz val="9"/>
            <color indexed="81"/>
            <rFont val="Tahoma"/>
            <family val="2"/>
          </rPr>
          <t xml:space="preserve"> 150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(6/20)</t>
        </r>
        <r>
          <rPr>
            <b/>
            <sz val="9"/>
            <color indexed="81"/>
            <rFont val="돋움"/>
            <family val="3"/>
            <charset val="129"/>
          </rPr>
          <t xml:space="preserve">
타이어교체</t>
        </r>
        <r>
          <rPr>
            <b/>
            <sz val="9"/>
            <color indexed="81"/>
            <rFont val="Tahoma"/>
            <family val="2"/>
          </rPr>
          <t xml:space="preserve"> 117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- 26/4/14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콘티넨탈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트랙션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310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 xml:space="preserve"> - 26/6/16
 - </t>
        </r>
        <r>
          <rPr>
            <b/>
            <sz val="9"/>
            <color indexed="81"/>
            <rFont val="돋움"/>
            <family val="3"/>
            <charset val="129"/>
          </rPr>
          <t>보선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지원해줌</t>
        </r>
      </text>
    </comment>
    <comment ref="E40" authorId="0" shapeId="0" xr:uid="{A89CA8C1-5546-43B0-A2F4-114D81B436D9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</t>
        </r>
      </text>
    </comment>
    <comment ref="G40" authorId="0" shapeId="0" xr:uid="{8AE4507D-74C1-494D-A122-C4B82A0FC1CC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통신비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감면</t>
        </r>
        <r>
          <rPr>
            <b/>
            <sz val="9"/>
            <color indexed="81"/>
            <rFont val="Tahoma"/>
            <family val="2"/>
          </rPr>
          <t xml:space="preserve"> 24,000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기초연금에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E41" authorId="0" shapeId="0" xr:uid="{04E4C82B-CD16-48B6-9712-BE3FAC425DF2}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월세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부가세별도</t>
        </r>
        <r>
          <rPr>
            <b/>
            <sz val="9"/>
            <color indexed="81"/>
            <rFont val="Tahoma"/>
            <family val="2"/>
          </rPr>
          <t xml:space="preserve">)
   . </t>
        </r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감액제외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최대월세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현금으로</t>
        </r>
        <r>
          <rPr>
            <b/>
            <sz val="9"/>
            <color indexed="81"/>
            <rFont val="Tahoma"/>
            <family val="2"/>
          </rPr>
          <t xml:space="preserve"> 20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별도받음
</t>
        </r>
        <r>
          <rPr>
            <b/>
            <sz val="9"/>
            <color indexed="81"/>
            <rFont val="Tahoma"/>
            <family val="2"/>
          </rPr>
          <t xml:space="preserve"> 
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4,5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생일축하금</t>
        </r>
        <r>
          <rPr>
            <b/>
            <sz val="9"/>
            <color indexed="81"/>
            <rFont val="Tahoma"/>
            <family val="2"/>
          </rPr>
          <t xml:space="preserve"> 170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경희생일</t>
        </r>
        <r>
          <rPr>
            <b/>
            <sz val="9"/>
            <color indexed="81"/>
            <rFont val="Tahoma"/>
            <family val="2"/>
          </rPr>
          <t>(4/12) : 600,000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   . </t>
        </r>
        <r>
          <rPr>
            <b/>
            <sz val="9"/>
            <color indexed="81"/>
            <rFont val="돋움"/>
            <family val="3"/>
            <charset val="129"/>
          </rPr>
          <t>보선</t>
        </r>
        <r>
          <rPr>
            <b/>
            <sz val="9"/>
            <color indexed="81"/>
            <rFont val="Tahoma"/>
            <family val="2"/>
          </rPr>
          <t xml:space="preserve"> 100,000, </t>
        </r>
        <r>
          <rPr>
            <b/>
            <sz val="9"/>
            <color indexed="81"/>
            <rFont val="돋움"/>
            <family val="3"/>
            <charset val="129"/>
          </rPr>
          <t>지수</t>
        </r>
        <r>
          <rPr>
            <b/>
            <sz val="9"/>
            <color indexed="81"/>
            <rFont val="Tahoma"/>
            <family val="2"/>
          </rPr>
          <t xml:space="preserve"> 500,000
 - </t>
        </r>
        <r>
          <rPr>
            <b/>
            <sz val="9"/>
            <color indexed="81"/>
            <rFont val="돋움"/>
            <family val="3"/>
            <charset val="129"/>
          </rPr>
          <t>감철생일</t>
        </r>
        <r>
          <rPr>
            <b/>
            <sz val="9"/>
            <color indexed="81"/>
            <rFont val="Tahoma"/>
            <family val="2"/>
          </rPr>
          <t>(5/2) : 1.100,000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   . </t>
        </r>
        <r>
          <rPr>
            <b/>
            <sz val="9"/>
            <color indexed="81"/>
            <rFont val="돋움"/>
            <family val="3"/>
            <charset val="129"/>
          </rPr>
          <t>보선</t>
        </r>
        <r>
          <rPr>
            <b/>
            <sz val="9"/>
            <color indexed="81"/>
            <rFont val="Tahoma"/>
            <family val="2"/>
          </rPr>
          <t xml:space="preserve"> 600,000, </t>
        </r>
        <r>
          <rPr>
            <b/>
            <sz val="9"/>
            <color indexed="81"/>
            <rFont val="돋움"/>
            <family val="3"/>
            <charset val="129"/>
          </rPr>
          <t>지수</t>
        </r>
        <r>
          <rPr>
            <b/>
            <sz val="9"/>
            <color indexed="81"/>
            <rFont val="Tahoma"/>
            <family val="2"/>
          </rPr>
          <t xml:space="preserve"> 500,000
</t>
        </r>
        <r>
          <rPr>
            <b/>
            <u/>
            <sz val="9"/>
            <color indexed="81"/>
            <rFont val="Tahoma"/>
            <family val="2"/>
          </rPr>
          <t xml:space="preserve"> # 4/5</t>
        </r>
        <r>
          <rPr>
            <b/>
            <u/>
            <sz val="9"/>
            <color indexed="81"/>
            <rFont val="돋움"/>
            <family val="3"/>
            <charset val="129"/>
          </rPr>
          <t>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임대료보다</t>
        </r>
        <r>
          <rPr>
            <b/>
            <u/>
            <sz val="9"/>
            <color indexed="81"/>
            <rFont val="Tahoma"/>
            <family val="2"/>
          </rPr>
          <t xml:space="preserve"> 70</t>
        </r>
        <r>
          <rPr>
            <b/>
            <u/>
            <sz val="9"/>
            <color indexed="81"/>
            <rFont val="돋움"/>
            <family val="3"/>
            <charset val="129"/>
          </rPr>
          <t>만원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추가됨</t>
        </r>
      </text>
    </comment>
    <comment ref="E43" authorId="0" shapeId="0" xr:uid="{FF79657F-C646-4009-954D-45BD5AA2722C}">
      <text>
        <r>
          <rPr>
            <b/>
            <sz val="9"/>
            <color indexed="81"/>
            <rFont val="돋움"/>
            <family val="3"/>
            <charset val="129"/>
          </rPr>
          <t>기본급</t>
        </r>
        <r>
          <rPr>
            <b/>
            <sz val="9"/>
            <color indexed="81"/>
            <rFont val="Tahoma"/>
            <family val="2"/>
          </rPr>
          <t xml:space="preserve"> 250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잔업</t>
        </r>
        <r>
          <rPr>
            <b/>
            <sz val="9"/>
            <color indexed="81"/>
            <rFont val="Tahoma"/>
            <family val="2"/>
          </rPr>
          <t xml:space="preserve"> 33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식대</t>
        </r>
        <r>
          <rPr>
            <b/>
            <sz val="9"/>
            <color indexed="81"/>
            <rFont val="Tahoma"/>
            <family val="2"/>
          </rPr>
          <t xml:space="preserve"> -10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급여인상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추가고려
퇴직금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개월
실업급여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개월로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</t>
        </r>
      </text>
    </comment>
    <comment ref="G48" authorId="0" shapeId="0" xr:uid="{FDC461CD-6D6D-49DB-B286-188165BC22AD}">
      <text>
        <r>
          <rPr>
            <b/>
            <sz val="9"/>
            <color indexed="81"/>
            <rFont val="돋움"/>
            <family val="3"/>
            <charset val="129"/>
          </rPr>
          <t>관리비</t>
        </r>
        <r>
          <rPr>
            <b/>
            <sz val="9"/>
            <color indexed="81"/>
            <rFont val="Tahoma"/>
            <family val="2"/>
          </rPr>
          <t xml:space="preserve"> : 7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태희지급
주차비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정기권차량으로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 xml:space="preserve">천원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매</t>
        </r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개월단위로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계속사용하면
</t>
        </r>
        <r>
          <rPr>
            <b/>
            <sz val="9"/>
            <color indexed="81"/>
            <rFont val="Tahoma"/>
            <family val="2"/>
          </rPr>
          <t xml:space="preserve">    6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  . </t>
        </r>
        <r>
          <rPr>
            <b/>
            <sz val="9"/>
            <color indexed="81"/>
            <rFont val="돋움"/>
            <family val="3"/>
            <charset val="129"/>
          </rPr>
          <t>확인필요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G54" authorId="0" shapeId="0" xr:uid="{A6B9F5BC-930A-4FE7-B538-268FEBB3C14B}">
      <text>
        <r>
          <rPr>
            <sz val="9"/>
            <color indexed="81"/>
            <rFont val="돋움"/>
            <family val="3"/>
            <charset val="129"/>
          </rPr>
          <t>웅진코웨이</t>
        </r>
        <r>
          <rPr>
            <sz val="9"/>
            <color indexed="81"/>
            <rFont val="Tahoma"/>
            <family val="2"/>
          </rPr>
          <t xml:space="preserve"> : 26/5/4 </t>
        </r>
        <r>
          <rPr>
            <sz val="9"/>
            <color indexed="81"/>
            <rFont val="돋움"/>
            <family val="3"/>
            <charset val="129"/>
          </rPr>
          <t>신규국민카드로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고객센터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통화
</t>
        </r>
        <r>
          <rPr>
            <u/>
            <sz val="9"/>
            <color indexed="81"/>
            <rFont val="돋움"/>
            <family val="3"/>
            <charset val="129"/>
          </rPr>
          <t xml:space="preserve">
사용료</t>
        </r>
        <r>
          <rPr>
            <u/>
            <sz val="9"/>
            <color indexed="81"/>
            <rFont val="Tahoma"/>
            <family val="2"/>
          </rPr>
          <t xml:space="preserve"> : -26.5</t>
        </r>
        <r>
          <rPr>
            <u/>
            <sz val="9"/>
            <color indexed="81"/>
            <rFont val="돋움"/>
            <family val="3"/>
            <charset val="129"/>
          </rPr>
          <t>월</t>
        </r>
        <r>
          <rPr>
            <u/>
            <sz val="9"/>
            <color indexed="81"/>
            <rFont val="Tahoma"/>
            <family val="2"/>
          </rPr>
          <t xml:space="preserve"> 64,210 / 26.6</t>
        </r>
        <r>
          <rPr>
            <u/>
            <sz val="9"/>
            <color indexed="81"/>
            <rFont val="돋움"/>
            <family val="3"/>
            <charset val="129"/>
          </rPr>
          <t>월부터</t>
        </r>
        <r>
          <rPr>
            <u/>
            <sz val="9"/>
            <color indexed="81"/>
            <rFont val="Tahoma"/>
            <family val="2"/>
          </rPr>
          <t xml:space="preserve"> 81,490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정수기</t>
        </r>
        <r>
          <rPr>
            <sz val="9"/>
            <color indexed="81"/>
            <rFont val="Tahoma"/>
            <family val="2"/>
          </rPr>
          <t xml:space="preserve"> 28,600
 - </t>
        </r>
        <r>
          <rPr>
            <sz val="9"/>
            <color indexed="81"/>
            <rFont val="돋움"/>
            <family val="3"/>
            <charset val="129"/>
          </rPr>
          <t>공기청정기</t>
        </r>
        <r>
          <rPr>
            <sz val="9"/>
            <color indexed="81"/>
            <rFont val="Tahoma"/>
            <family val="2"/>
          </rPr>
          <t xml:space="preserve"> 31,710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) 18,900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) 17,280 (26.2-5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면제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</t>
        </r>
        <r>
          <rPr>
            <sz val="9"/>
            <color indexed="81"/>
            <rFont val="Tahoma"/>
            <family val="2"/>
          </rPr>
          <t xml:space="preserve">)
 - </t>
        </r>
        <r>
          <rPr>
            <sz val="9"/>
            <color indexed="81"/>
            <rFont val="돋움"/>
            <family val="3"/>
            <charset val="129"/>
          </rPr>
          <t>제휴카드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감면</t>
        </r>
        <r>
          <rPr>
            <sz val="9"/>
            <color indexed="81"/>
            <rFont val="Tahoma"/>
            <family val="2"/>
          </rPr>
          <t xml:space="preserve"> -15,000
</t>
        </r>
      </text>
    </comment>
    <comment ref="E56" authorId="0" shapeId="0" xr:uid="{9DE16E1C-F205-4A98-B2DF-B3F798172314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부부가구 감액 축소 예상
 - 27년 -20%
 - 28년 -10%
금액인상 / 하후상박 적용가능 : 수령액 인상</t>
        </r>
      </text>
    </comment>
    <comment ref="G56" authorId="0" shapeId="0" xr:uid="{E76DDB98-FD43-47D6-9551-D8F88C0B745A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통신비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감면</t>
        </r>
        <r>
          <rPr>
            <b/>
            <sz val="9"/>
            <color indexed="81"/>
            <rFont val="Tahoma"/>
            <family val="2"/>
          </rPr>
          <t xml:space="preserve"> 24,000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기초연금에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E59" authorId="0" shapeId="0" xr:uid="{8DFA5329-C152-4C11-8E75-33FFA667CB7C}">
      <text>
        <r>
          <rPr>
            <b/>
            <sz val="9"/>
            <color indexed="81"/>
            <rFont val="돋움"/>
            <family val="3"/>
            <charset val="129"/>
          </rPr>
          <t>기본급</t>
        </r>
        <r>
          <rPr>
            <b/>
            <sz val="9"/>
            <color indexed="81"/>
            <rFont val="Tahoma"/>
            <family val="2"/>
          </rPr>
          <t xml:space="preserve"> 250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잔업</t>
        </r>
        <r>
          <rPr>
            <b/>
            <sz val="9"/>
            <color indexed="81"/>
            <rFont val="Tahoma"/>
            <family val="2"/>
          </rPr>
          <t xml:space="preserve"> 33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식대</t>
        </r>
        <r>
          <rPr>
            <b/>
            <sz val="9"/>
            <color indexed="81"/>
            <rFont val="Tahoma"/>
            <family val="2"/>
          </rPr>
          <t xml:space="preserve"> -10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급여인상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추가고려
퇴직금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개월
실업급여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개월로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</t>
        </r>
      </text>
    </comment>
    <comment ref="G64" authorId="0" shapeId="0" xr:uid="{2440E925-6CE3-436F-A223-3DC638704710}">
      <text>
        <r>
          <rPr>
            <b/>
            <sz val="9"/>
            <color indexed="81"/>
            <rFont val="돋움"/>
            <family val="3"/>
            <charset val="129"/>
          </rPr>
          <t>관리비</t>
        </r>
        <r>
          <rPr>
            <b/>
            <sz val="9"/>
            <color indexed="81"/>
            <rFont val="Tahoma"/>
            <family val="2"/>
          </rPr>
          <t xml:space="preserve"> : 6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태희지급
주차비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정기권차잘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매</t>
        </r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개월단위로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계속사용하면
</t>
        </r>
        <r>
          <rPr>
            <b/>
            <sz val="9"/>
            <color indexed="81"/>
            <rFont val="Tahoma"/>
            <family val="2"/>
          </rPr>
          <t xml:space="preserve">    6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G70" authorId="0" shapeId="0" xr:uid="{52CC3EB6-A714-4E7F-A303-8CA051BA2BB2}">
      <text>
        <r>
          <rPr>
            <sz val="9"/>
            <color indexed="81"/>
            <rFont val="돋움"/>
            <family val="3"/>
            <charset val="129"/>
          </rPr>
          <t>웅진코웨이</t>
        </r>
        <r>
          <rPr>
            <sz val="9"/>
            <color indexed="81"/>
            <rFont val="Tahoma"/>
            <family val="2"/>
          </rPr>
          <t xml:space="preserve"> : 26/5/4 </t>
        </r>
        <r>
          <rPr>
            <sz val="9"/>
            <color indexed="81"/>
            <rFont val="돋움"/>
            <family val="3"/>
            <charset val="129"/>
          </rPr>
          <t>신규국민카드로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고객센터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통화
</t>
        </r>
        <r>
          <rPr>
            <u/>
            <sz val="9"/>
            <color indexed="81"/>
            <rFont val="돋움"/>
            <family val="3"/>
            <charset val="129"/>
          </rPr>
          <t xml:space="preserve">
사용료</t>
        </r>
        <r>
          <rPr>
            <u/>
            <sz val="9"/>
            <color indexed="81"/>
            <rFont val="Tahoma"/>
            <family val="2"/>
          </rPr>
          <t xml:space="preserve"> : -26.5</t>
        </r>
        <r>
          <rPr>
            <u/>
            <sz val="9"/>
            <color indexed="81"/>
            <rFont val="돋움"/>
            <family val="3"/>
            <charset val="129"/>
          </rPr>
          <t>월</t>
        </r>
        <r>
          <rPr>
            <u/>
            <sz val="9"/>
            <color indexed="81"/>
            <rFont val="Tahoma"/>
            <family val="2"/>
          </rPr>
          <t xml:space="preserve"> 64,210 / 26.6</t>
        </r>
        <r>
          <rPr>
            <u/>
            <sz val="9"/>
            <color indexed="81"/>
            <rFont val="돋움"/>
            <family val="3"/>
            <charset val="129"/>
          </rPr>
          <t>월부터</t>
        </r>
        <r>
          <rPr>
            <u/>
            <sz val="9"/>
            <color indexed="81"/>
            <rFont val="Tahoma"/>
            <family val="2"/>
          </rPr>
          <t xml:space="preserve"> 81,490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정수기</t>
        </r>
        <r>
          <rPr>
            <sz val="9"/>
            <color indexed="81"/>
            <rFont val="Tahoma"/>
            <family val="2"/>
          </rPr>
          <t xml:space="preserve"> 28,600
 - </t>
        </r>
        <r>
          <rPr>
            <sz val="9"/>
            <color indexed="81"/>
            <rFont val="돋움"/>
            <family val="3"/>
            <charset val="129"/>
          </rPr>
          <t>공기청정기</t>
        </r>
        <r>
          <rPr>
            <sz val="9"/>
            <color indexed="81"/>
            <rFont val="Tahoma"/>
            <family val="2"/>
          </rPr>
          <t xml:space="preserve"> 31,710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) 18,900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) 17,280 (26.2-5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면제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</t>
        </r>
        <r>
          <rPr>
            <sz val="9"/>
            <color indexed="81"/>
            <rFont val="Tahoma"/>
            <family val="2"/>
          </rPr>
          <t xml:space="preserve">)
 - </t>
        </r>
        <r>
          <rPr>
            <sz val="9"/>
            <color indexed="81"/>
            <rFont val="돋움"/>
            <family val="3"/>
            <charset val="129"/>
          </rPr>
          <t>제휴카드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감면</t>
        </r>
        <r>
          <rPr>
            <sz val="9"/>
            <color indexed="81"/>
            <rFont val="Tahoma"/>
            <family val="2"/>
          </rPr>
          <t xml:space="preserve"> -15,000
</t>
        </r>
      </text>
    </comment>
    <comment ref="E72" authorId="0" shapeId="0" xr:uid="{0E008963-CB97-4664-803A-2681CCC898B4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부부가구 감액 축소 예상
 - 29년 -10%
 - 30년 -0%
금액인상 / 하후상박 적용가능 : 수령액 인상
 : 년1% 인상으로 고려함</t>
        </r>
      </text>
    </comment>
    <comment ref="G72" authorId="0" shapeId="0" xr:uid="{F47B7D14-F51E-4EE2-81C4-CBE572D97F75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통신비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감면</t>
        </r>
        <r>
          <rPr>
            <b/>
            <sz val="9"/>
            <color indexed="81"/>
            <rFont val="Tahoma"/>
            <family val="2"/>
          </rPr>
          <t xml:space="preserve"> 24,000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기초연금에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E74" authorId="0" shapeId="0" xr:uid="{69474394-A230-4397-94F9-15B1FAB2D37D}">
      <text>
        <r>
          <rPr>
            <b/>
            <sz val="9"/>
            <color indexed="81"/>
            <rFont val="돋움"/>
            <family val="3"/>
            <charset val="129"/>
          </rPr>
          <t>보선생활비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</text>
    </comment>
    <comment ref="E75" authorId="0" shapeId="0" xr:uid="{1531D104-2257-4ED4-B304-B4DDFF637C1B}">
      <text>
        <r>
          <rPr>
            <b/>
            <sz val="9"/>
            <color indexed="81"/>
            <rFont val="돋움"/>
            <family val="3"/>
            <charset val="129"/>
          </rPr>
          <t>기본급</t>
        </r>
        <r>
          <rPr>
            <b/>
            <sz val="9"/>
            <color indexed="81"/>
            <rFont val="Tahoma"/>
            <family val="2"/>
          </rPr>
          <t xml:space="preserve"> 250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잔업</t>
        </r>
        <r>
          <rPr>
            <b/>
            <sz val="9"/>
            <color indexed="81"/>
            <rFont val="Tahoma"/>
            <family val="2"/>
          </rPr>
          <t xml:space="preserve"> 33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식대</t>
        </r>
        <r>
          <rPr>
            <b/>
            <sz val="9"/>
            <color indexed="81"/>
            <rFont val="Tahoma"/>
            <family val="2"/>
          </rPr>
          <t xml:space="preserve"> -10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
급여인상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추가고려
퇴직금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개월
실업급여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개월로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</t>
        </r>
      </text>
    </comment>
    <comment ref="G80" authorId="0" shapeId="0" xr:uid="{F2C326B6-D855-4800-AFF3-6674CC4081DB}">
      <text>
        <r>
          <rPr>
            <b/>
            <sz val="9"/>
            <color indexed="81"/>
            <rFont val="돋움"/>
            <family val="3"/>
            <charset val="129"/>
          </rPr>
          <t>관리비</t>
        </r>
        <r>
          <rPr>
            <b/>
            <sz val="9"/>
            <color indexed="81"/>
            <rFont val="Tahoma"/>
            <family val="2"/>
          </rPr>
          <t xml:space="preserve"> : 6</t>
        </r>
        <r>
          <rPr>
            <b/>
            <sz val="9"/>
            <color indexed="81"/>
            <rFont val="돋움"/>
            <family val="3"/>
            <charset val="129"/>
          </rPr>
          <t>월부터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태희지급
주차비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정기권차잘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매</t>
        </r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개월단위로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계속사용하면
</t>
        </r>
        <r>
          <rPr>
            <b/>
            <sz val="9"/>
            <color indexed="81"/>
            <rFont val="Tahoma"/>
            <family val="2"/>
          </rPr>
          <t xml:space="preserve">    6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85" authorId="0" shapeId="0" xr:uid="{0CCBCAC5-DDC4-413F-A065-1D17BDFEB819}">
      <text>
        <r>
          <rPr>
            <b/>
            <sz val="9"/>
            <color indexed="81"/>
            <rFont val="돋움"/>
            <family val="3"/>
            <charset val="129"/>
          </rPr>
          <t>세금제외</t>
        </r>
      </text>
    </comment>
    <comment ref="F85" authorId="0" shapeId="0" xr:uid="{DA39758E-888F-476C-937E-C31366FCAB9D}">
      <text>
        <r>
          <rPr>
            <b/>
            <sz val="9"/>
            <color indexed="81"/>
            <rFont val="돋움"/>
            <family val="3"/>
            <charset val="129"/>
          </rPr>
          <t>지수투자금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상환</t>
        </r>
        <r>
          <rPr>
            <b/>
            <sz val="9"/>
            <color indexed="81"/>
            <rFont val="Tahoma"/>
            <family val="2"/>
          </rPr>
          <t xml:space="preserve">  -3,000</t>
        </r>
        <r>
          <rPr>
            <b/>
            <sz val="9"/>
            <color indexed="81"/>
            <rFont val="돋움"/>
            <family val="3"/>
            <charset val="129"/>
          </rPr>
          <t>만
지수애기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증여</t>
        </r>
        <r>
          <rPr>
            <b/>
            <sz val="9"/>
            <color indexed="81"/>
            <rFont val="Tahoma"/>
            <family val="2"/>
          </rPr>
          <t xml:space="preserve"> -5,000</t>
        </r>
        <r>
          <rPr>
            <b/>
            <sz val="9"/>
            <color indexed="81"/>
            <rFont val="돋움"/>
            <family val="3"/>
            <charset val="129"/>
          </rPr>
          <t>만
서연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증여</t>
        </r>
        <r>
          <rPr>
            <b/>
            <sz val="9"/>
            <color indexed="81"/>
            <rFont val="Tahoma"/>
            <family val="2"/>
          </rPr>
          <t xml:space="preserve"> -4,000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F90" authorId="0" shapeId="0" xr:uid="{15894367-9035-474A-B2DE-DEE53E52B31F}">
      <text>
        <r>
          <rPr>
            <b/>
            <sz val="9"/>
            <color indexed="81"/>
            <rFont val="돋움"/>
            <family val="3"/>
            <charset val="129"/>
          </rPr>
          <t>상가</t>
        </r>
        <r>
          <rPr>
            <b/>
            <sz val="9"/>
            <color indexed="81"/>
            <rFont val="Tahoma"/>
            <family val="2"/>
          </rPr>
          <t xml:space="preserve"> 120,000,000
   - </t>
        </r>
        <r>
          <rPr>
            <b/>
            <sz val="9"/>
            <color indexed="81"/>
            <rFont val="돋움"/>
            <family val="3"/>
            <charset val="129"/>
          </rPr>
          <t>지수</t>
        </r>
        <r>
          <rPr>
            <b/>
            <sz val="9"/>
            <color indexed="81"/>
            <rFont val="Tahoma"/>
            <family val="2"/>
          </rPr>
          <t xml:space="preserve"> 30,000,000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대동상속으로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대체
</t>
        </r>
        <r>
          <rPr>
            <b/>
            <sz val="9"/>
            <color indexed="81"/>
            <rFont val="Tahoma"/>
            <family val="2"/>
          </rPr>
          <t>KC</t>
        </r>
        <r>
          <rPr>
            <b/>
            <sz val="9"/>
            <color indexed="81"/>
            <rFont val="돋움"/>
            <family val="3"/>
            <charset val="129"/>
          </rPr>
          <t>보함대출</t>
        </r>
        <r>
          <rPr>
            <b/>
            <sz val="9"/>
            <color indexed="81"/>
            <rFont val="Tahoma"/>
            <family val="2"/>
          </rPr>
          <t xml:space="preserve"> : 50,000,000
</t>
        </r>
        <r>
          <rPr>
            <b/>
            <sz val="9"/>
            <color indexed="81"/>
            <rFont val="돋움"/>
            <family val="3"/>
            <charset val="129"/>
          </rPr>
          <t>장모님</t>
        </r>
        <r>
          <rPr>
            <b/>
            <sz val="9"/>
            <color indexed="81"/>
            <rFont val="Tahoma"/>
            <family val="2"/>
          </rPr>
          <t xml:space="preserve"> 15,000,000
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보험대출</t>
        </r>
        <r>
          <rPr>
            <b/>
            <sz val="9"/>
            <color indexed="81"/>
            <rFont val="Tahoma"/>
            <family val="2"/>
          </rPr>
          <t xml:space="preserve"> 60,000,000</t>
        </r>
      </text>
    </comment>
    <comment ref="G96" authorId="0" shapeId="0" xr:uid="{CE80F102-88CE-4656-8764-51286BB2725C}">
      <text>
        <r>
          <rPr>
            <sz val="9"/>
            <color indexed="81"/>
            <rFont val="돋움"/>
            <family val="3"/>
            <charset val="129"/>
          </rPr>
          <t>웅진코웨이</t>
        </r>
        <r>
          <rPr>
            <sz val="9"/>
            <color indexed="81"/>
            <rFont val="Tahoma"/>
            <family val="2"/>
          </rPr>
          <t xml:space="preserve"> : 26/5/4 </t>
        </r>
        <r>
          <rPr>
            <sz val="9"/>
            <color indexed="81"/>
            <rFont val="돋움"/>
            <family val="3"/>
            <charset val="129"/>
          </rPr>
          <t>신규국민카드로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고객센터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통화
</t>
        </r>
        <r>
          <rPr>
            <u/>
            <sz val="9"/>
            <color indexed="81"/>
            <rFont val="돋움"/>
            <family val="3"/>
            <charset val="129"/>
          </rPr>
          <t xml:space="preserve">
사용료</t>
        </r>
        <r>
          <rPr>
            <u/>
            <sz val="9"/>
            <color indexed="81"/>
            <rFont val="Tahoma"/>
            <family val="2"/>
          </rPr>
          <t xml:space="preserve"> : -26.5</t>
        </r>
        <r>
          <rPr>
            <u/>
            <sz val="9"/>
            <color indexed="81"/>
            <rFont val="돋움"/>
            <family val="3"/>
            <charset val="129"/>
          </rPr>
          <t>월</t>
        </r>
        <r>
          <rPr>
            <u/>
            <sz val="9"/>
            <color indexed="81"/>
            <rFont val="Tahoma"/>
            <family val="2"/>
          </rPr>
          <t xml:space="preserve"> 64,210 / 26.6</t>
        </r>
        <r>
          <rPr>
            <u/>
            <sz val="9"/>
            <color indexed="81"/>
            <rFont val="돋움"/>
            <family val="3"/>
            <charset val="129"/>
          </rPr>
          <t>월부터</t>
        </r>
        <r>
          <rPr>
            <u/>
            <sz val="9"/>
            <color indexed="81"/>
            <rFont val="Tahoma"/>
            <family val="2"/>
          </rPr>
          <t xml:space="preserve"> 81,490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정수기</t>
        </r>
        <r>
          <rPr>
            <sz val="9"/>
            <color indexed="81"/>
            <rFont val="Tahoma"/>
            <family val="2"/>
          </rPr>
          <t xml:space="preserve"> 28,600
 - </t>
        </r>
        <r>
          <rPr>
            <sz val="9"/>
            <color indexed="81"/>
            <rFont val="돋움"/>
            <family val="3"/>
            <charset val="129"/>
          </rPr>
          <t>공기청정기</t>
        </r>
        <r>
          <rPr>
            <sz val="9"/>
            <color indexed="81"/>
            <rFont val="Tahoma"/>
            <family val="2"/>
          </rPr>
          <t xml:space="preserve"> 31,710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) 18,900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) 17,280 (26.2-5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면제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</t>
        </r>
        <r>
          <rPr>
            <sz val="9"/>
            <color indexed="81"/>
            <rFont val="Tahoma"/>
            <family val="2"/>
          </rPr>
          <t xml:space="preserve">)
 - </t>
        </r>
        <r>
          <rPr>
            <sz val="9"/>
            <color indexed="81"/>
            <rFont val="돋움"/>
            <family val="3"/>
            <charset val="129"/>
          </rPr>
          <t>제휴카드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감면</t>
        </r>
        <r>
          <rPr>
            <sz val="9"/>
            <color indexed="81"/>
            <rFont val="Tahoma"/>
            <family val="2"/>
          </rPr>
          <t xml:space="preserve"> -15,000
</t>
        </r>
      </text>
    </comment>
    <comment ref="C97" authorId="0" shapeId="0" xr:uid="{35939056-1145-4CBD-B12D-6F3000EDE17C}">
      <text>
        <r>
          <rPr>
            <b/>
            <sz val="9"/>
            <color indexed="81"/>
            <rFont val="돋움"/>
            <family val="3"/>
            <charset val="129"/>
          </rPr>
          <t>타이어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
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인테리어
시스템에어컨설치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냉난방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가구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전자제품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</text>
    </comment>
    <comment ref="E98" authorId="0" shapeId="0" xr:uid="{8934837D-5448-4B43-A650-FFA5CB365C03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부부가구 감액 : 0%
금액인상 / 하후상박 적용가능 : 수령액 인상
 : 년1% 인상으로 고려함</t>
        </r>
      </text>
    </comment>
    <comment ref="E100" authorId="0" shapeId="0" xr:uid="{E8DC3ECE-30C9-4B90-A73F-0FE888F28AA8}">
      <text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</text>
    </comment>
    <comment ref="D104" authorId="0" shapeId="0" xr:uid="{02405618-C272-4759-9CFD-7FC275CC5491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금융소득</t>
        </r>
        <r>
          <rPr>
            <b/>
            <sz val="9"/>
            <color indexed="81"/>
            <rFont val="Tahoma"/>
            <family val="2"/>
          </rPr>
          <t xml:space="preserve"> 2,000</t>
        </r>
        <r>
          <rPr>
            <b/>
            <sz val="9"/>
            <color indexed="81"/>
            <rFont val="돋움"/>
            <family val="3"/>
            <charset val="129"/>
          </rPr>
          <t>먼원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제외됨</t>
        </r>
        <r>
          <rPr>
            <sz val="9"/>
            <color indexed="81"/>
            <rFont val="Tahoma"/>
            <family val="2"/>
          </rPr>
          <t xml:space="preserve">
 - </t>
        </r>
        <r>
          <rPr>
            <sz val="9"/>
            <color indexed="81"/>
            <rFont val="돋움"/>
            <family val="3"/>
            <charset val="129"/>
          </rPr>
          <t>이자율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4%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예금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
주택연금은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대출이자를
금융소득에서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있으나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안전하게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현금예금은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미만으로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G110" authorId="0" shapeId="0" xr:uid="{58DC23AF-8F9B-456C-8039-056D23A28789}">
      <text>
        <r>
          <rPr>
            <sz val="9"/>
            <color indexed="81"/>
            <rFont val="돋움"/>
            <family val="3"/>
            <charset val="129"/>
          </rPr>
          <t>웅진코웨이</t>
        </r>
        <r>
          <rPr>
            <sz val="9"/>
            <color indexed="81"/>
            <rFont val="Tahoma"/>
            <family val="2"/>
          </rPr>
          <t xml:space="preserve"> : 26/5/4 </t>
        </r>
        <r>
          <rPr>
            <sz val="9"/>
            <color indexed="81"/>
            <rFont val="돋움"/>
            <family val="3"/>
            <charset val="129"/>
          </rPr>
          <t>신규국민카드로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고객센터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통화
</t>
        </r>
        <r>
          <rPr>
            <u/>
            <sz val="9"/>
            <color indexed="81"/>
            <rFont val="돋움"/>
            <family val="3"/>
            <charset val="129"/>
          </rPr>
          <t xml:space="preserve">
사용료</t>
        </r>
        <r>
          <rPr>
            <u/>
            <sz val="9"/>
            <color indexed="81"/>
            <rFont val="Tahoma"/>
            <family val="2"/>
          </rPr>
          <t xml:space="preserve"> : -26.5</t>
        </r>
        <r>
          <rPr>
            <u/>
            <sz val="9"/>
            <color indexed="81"/>
            <rFont val="돋움"/>
            <family val="3"/>
            <charset val="129"/>
          </rPr>
          <t>월</t>
        </r>
        <r>
          <rPr>
            <u/>
            <sz val="9"/>
            <color indexed="81"/>
            <rFont val="Tahoma"/>
            <family val="2"/>
          </rPr>
          <t xml:space="preserve"> 64,210 / 26.6</t>
        </r>
        <r>
          <rPr>
            <u/>
            <sz val="9"/>
            <color indexed="81"/>
            <rFont val="돋움"/>
            <family val="3"/>
            <charset val="129"/>
          </rPr>
          <t>월부터</t>
        </r>
        <r>
          <rPr>
            <u/>
            <sz val="9"/>
            <color indexed="81"/>
            <rFont val="Tahoma"/>
            <family val="2"/>
          </rPr>
          <t xml:space="preserve"> 81,490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정수기</t>
        </r>
        <r>
          <rPr>
            <sz val="9"/>
            <color indexed="81"/>
            <rFont val="Tahoma"/>
            <family val="2"/>
          </rPr>
          <t xml:space="preserve"> 28,600
 - </t>
        </r>
        <r>
          <rPr>
            <sz val="9"/>
            <color indexed="81"/>
            <rFont val="돋움"/>
            <family val="3"/>
            <charset val="129"/>
          </rPr>
          <t>공기청정기</t>
        </r>
        <r>
          <rPr>
            <sz val="9"/>
            <color indexed="81"/>
            <rFont val="Tahoma"/>
            <family val="2"/>
          </rPr>
          <t xml:space="preserve"> 31,710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) 18,900
 - </t>
        </r>
        <r>
          <rPr>
            <sz val="9"/>
            <color indexed="81"/>
            <rFont val="돋움"/>
            <family val="3"/>
            <charset val="129"/>
          </rPr>
          <t>비데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) 17,280 (26.2-5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면제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</t>
        </r>
        <r>
          <rPr>
            <sz val="9"/>
            <color indexed="81"/>
            <rFont val="Tahoma"/>
            <family val="2"/>
          </rPr>
          <t xml:space="preserve">)
 - </t>
        </r>
        <r>
          <rPr>
            <sz val="9"/>
            <color indexed="81"/>
            <rFont val="돋움"/>
            <family val="3"/>
            <charset val="129"/>
          </rPr>
          <t>제휴카드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감면</t>
        </r>
        <r>
          <rPr>
            <sz val="9"/>
            <color indexed="81"/>
            <rFont val="Tahoma"/>
            <family val="2"/>
          </rPr>
          <t xml:space="preserve"> -15,000
</t>
        </r>
      </text>
    </comment>
    <comment ref="E112" authorId="0" shapeId="0" xr:uid="{0240D449-8DBD-4A3D-9A2C-5E21089C2EB6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부부가구 감액 : 0%
금액인상 / 하후상박 적용가능 : 수령액 인상
 : 년1% 인상으로 고려함</t>
        </r>
      </text>
    </comment>
    <comment ref="E114" authorId="0" shapeId="0" xr:uid="{F0366B95-8654-42B4-A395-51CB99685A18}">
      <text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</text>
    </comment>
    <comment ref="D118" authorId="0" shapeId="0" xr:uid="{9E799057-6CDE-411D-8FF6-B348AC3BB591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금융소득</t>
        </r>
        <r>
          <rPr>
            <b/>
            <sz val="9"/>
            <color indexed="81"/>
            <rFont val="Tahoma"/>
            <family val="2"/>
          </rPr>
          <t xml:space="preserve"> 2,000</t>
        </r>
        <r>
          <rPr>
            <b/>
            <sz val="9"/>
            <color indexed="81"/>
            <rFont val="돋움"/>
            <family val="3"/>
            <charset val="129"/>
          </rPr>
          <t>먼원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제외됨</t>
        </r>
        <r>
          <rPr>
            <sz val="9"/>
            <color indexed="81"/>
            <rFont val="Tahoma"/>
            <family val="2"/>
          </rPr>
          <t xml:space="preserve">
 - </t>
        </r>
        <r>
          <rPr>
            <sz val="9"/>
            <color indexed="81"/>
            <rFont val="돋움"/>
            <family val="3"/>
            <charset val="129"/>
          </rPr>
          <t>이자율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4%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예금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
주택연금은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대출이자를
금융소득에서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있으나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안전하게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현금예금은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미만으로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E126" authorId="0" shapeId="0" xr:uid="{C4F0A32D-783A-4624-9123-9BD21D1B6346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부부가구 감액 : 0%
금액인상 / 하후상박 적용가능 : 수령액 인상
 : 년1% 인상으로 고려함</t>
        </r>
      </text>
    </comment>
    <comment ref="D131" authorId="0" shapeId="0" xr:uid="{4516CE36-F3CF-4E01-971C-D731F0900A12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금융소득</t>
        </r>
        <r>
          <rPr>
            <b/>
            <sz val="9"/>
            <color indexed="81"/>
            <rFont val="Tahoma"/>
            <family val="2"/>
          </rPr>
          <t xml:space="preserve"> 2,000</t>
        </r>
        <r>
          <rPr>
            <b/>
            <sz val="9"/>
            <color indexed="81"/>
            <rFont val="돋움"/>
            <family val="3"/>
            <charset val="129"/>
          </rPr>
          <t>먼원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제외됨</t>
        </r>
        <r>
          <rPr>
            <sz val="9"/>
            <color indexed="81"/>
            <rFont val="Tahoma"/>
            <family val="2"/>
          </rPr>
          <t xml:space="preserve">
 - </t>
        </r>
        <r>
          <rPr>
            <sz val="9"/>
            <color indexed="81"/>
            <rFont val="돋움"/>
            <family val="3"/>
            <charset val="129"/>
          </rPr>
          <t>이자율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4%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예금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
주택연금은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대출이자를
금융소득에서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있으나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안전하게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현금예금은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미만으로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E139" authorId="0" shapeId="0" xr:uid="{4F4CD7DC-D5E8-4BFF-912D-1C6127E8A3D1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부부가구 감액 : 0%
금액인상 / 하후상박 적용가능 : 수령액 인상
 : 년1% 인상으로 고려함</t>
        </r>
      </text>
    </comment>
    <comment ref="D144" authorId="0" shapeId="0" xr:uid="{0D49DC8D-4732-482D-B2B2-522BD5091164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금융소득</t>
        </r>
        <r>
          <rPr>
            <b/>
            <sz val="9"/>
            <color indexed="81"/>
            <rFont val="Tahoma"/>
            <family val="2"/>
          </rPr>
          <t xml:space="preserve"> 2,000</t>
        </r>
        <r>
          <rPr>
            <b/>
            <sz val="9"/>
            <color indexed="81"/>
            <rFont val="돋움"/>
            <family val="3"/>
            <charset val="129"/>
          </rPr>
          <t>먼원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제외됨</t>
        </r>
        <r>
          <rPr>
            <sz val="9"/>
            <color indexed="81"/>
            <rFont val="Tahoma"/>
            <family val="2"/>
          </rPr>
          <t xml:space="preserve">
 - </t>
        </r>
        <r>
          <rPr>
            <sz val="9"/>
            <color indexed="81"/>
            <rFont val="돋움"/>
            <family val="3"/>
            <charset val="129"/>
          </rPr>
          <t>이자율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4%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예금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
주택연금은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대출이자를
금융소득에서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있으나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안전하게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현금예금은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미만으로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E152" authorId="0" shapeId="0" xr:uid="{9D91B5A7-4BEC-4FB9-963F-D172FA0F5B5C}">
      <text>
        <r>
          <rPr>
            <b/>
            <sz val="9"/>
            <color indexed="81"/>
            <rFont val="돋움"/>
            <family val="3"/>
            <charset val="129"/>
          </rPr>
          <t>26.4.15일 확정통보
 - 경희 279,769 (100% x 0,8)
 - 갑철 139,880 (50% x 0,8)
26.4.24일 입금
 - 경희 909,220원(3개월분) : 월303,073원
   . 통보금액보다 23,304원 추가입금
   . 5월 입금액 279,769원
 - 갑철 : 279,760원(2개월분) : 월279,760원
통신요금 감면 24,000원
 - 인당 12,000원
 - 26/4/20일 신청 / 26.5월부터 반영
부부가구 감액 : 0%
금액인상 / 하후상박 적용가능 : 수령액 인상
 : 년1% 인상으로 고려함</t>
        </r>
      </text>
    </comment>
    <comment ref="D157" authorId="0" shapeId="0" xr:uid="{72139740-4473-4E1E-8771-5B2301AC5C4D}">
      <text>
        <r>
          <rPr>
            <b/>
            <sz val="9"/>
            <color indexed="81"/>
            <rFont val="돋움"/>
            <family val="3"/>
            <charset val="129"/>
          </rPr>
          <t>기초연금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금융소득</t>
        </r>
        <r>
          <rPr>
            <b/>
            <sz val="9"/>
            <color indexed="81"/>
            <rFont val="Tahoma"/>
            <family val="2"/>
          </rPr>
          <t xml:space="preserve"> 2,000</t>
        </r>
        <r>
          <rPr>
            <b/>
            <sz val="9"/>
            <color indexed="81"/>
            <rFont val="돋움"/>
            <family val="3"/>
            <charset val="129"/>
          </rPr>
          <t>먼원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제외됨</t>
        </r>
        <r>
          <rPr>
            <sz val="9"/>
            <color indexed="81"/>
            <rFont val="Tahoma"/>
            <family val="2"/>
          </rPr>
          <t xml:space="preserve">
 - </t>
        </r>
        <r>
          <rPr>
            <sz val="9"/>
            <color indexed="81"/>
            <rFont val="돋움"/>
            <family val="3"/>
            <charset val="129"/>
          </rPr>
          <t>이자율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4%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예금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
주택연금은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대출이자를
금융소득에서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있으나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안전하게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현금예금은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미만으로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</commentList>
</comments>
</file>

<file path=xl/sharedStrings.xml><?xml version="1.0" encoding="utf-8"?>
<sst xmlns="http://schemas.openxmlformats.org/spreadsheetml/2006/main" count="2074" uniqueCount="559">
  <si>
    <t>2025. 12월 기준</t>
    <phoneticPr fontId="2" type="noConversion"/>
  </si>
  <si>
    <t>25년10월</t>
    <phoneticPr fontId="2" type="noConversion"/>
  </si>
  <si>
    <t>순자산</t>
    <phoneticPr fontId="2" type="noConversion"/>
  </si>
  <si>
    <t>총자산</t>
    <phoneticPr fontId="2" type="noConversion"/>
  </si>
  <si>
    <t>대출/손실</t>
    <phoneticPr fontId="2" type="noConversion"/>
  </si>
  <si>
    <t>아파트</t>
    <phoneticPr fontId="2" type="noConversion"/>
  </si>
  <si>
    <t>현시세</t>
    <phoneticPr fontId="2" type="noConversion"/>
  </si>
  <si>
    <t>대출</t>
    <phoneticPr fontId="2" type="noConversion"/>
  </si>
  <si>
    <t>상가</t>
    <phoneticPr fontId="2" type="noConversion"/>
  </si>
  <si>
    <t>국민은행</t>
    <phoneticPr fontId="2" type="noConversion"/>
  </si>
  <si>
    <t>지수</t>
    <phoneticPr fontId="2" type="noConversion"/>
  </si>
  <si>
    <t>케이씨글로벌</t>
    <phoneticPr fontId="2" type="noConversion"/>
  </si>
  <si>
    <t>투자금</t>
    <phoneticPr fontId="2" type="noConversion"/>
  </si>
  <si>
    <t>26.1.7일로 투자정리 &amp; 주식재투자 (대출937만+경희계좌1,000만)</t>
    <phoneticPr fontId="2" type="noConversion"/>
  </si>
  <si>
    <t>소액추가 100만원 포함/손실에서 Minus</t>
    <phoneticPr fontId="2" type="noConversion"/>
  </si>
  <si>
    <t>보험 납입액</t>
    <phoneticPr fontId="2" type="noConversion"/>
  </si>
  <si>
    <t>2051년 에상</t>
    <phoneticPr fontId="2" type="noConversion"/>
  </si>
  <si>
    <t>대출후잔액</t>
    <phoneticPr fontId="2" type="noConversion"/>
  </si>
  <si>
    <t>납입액</t>
    <phoneticPr fontId="2" type="noConversion"/>
  </si>
  <si>
    <t>대출액</t>
    <phoneticPr fontId="2" type="noConversion"/>
  </si>
  <si>
    <t>해지환급금</t>
    <phoneticPr fontId="2" type="noConversion"/>
  </si>
  <si>
    <t>대출가능/이자율</t>
    <phoneticPr fontId="2" type="noConversion"/>
  </si>
  <si>
    <t>갑철 리빙케어</t>
    <phoneticPr fontId="2" type="noConversion"/>
  </si>
  <si>
    <t>23.6월 납입완료</t>
    <phoneticPr fontId="2" type="noConversion"/>
  </si>
  <si>
    <t>갑철 유니버셜</t>
    <phoneticPr fontId="2" type="noConversion"/>
  </si>
  <si>
    <t>30.9월 납입만기/유지필요</t>
    <phoneticPr fontId="2" type="noConversion"/>
  </si>
  <si>
    <t>경희 리빙케어</t>
    <phoneticPr fontId="2" type="noConversion"/>
  </si>
  <si>
    <t>20.8월 납입완료</t>
    <phoneticPr fontId="2" type="noConversion"/>
  </si>
  <si>
    <t>경희 유니버셜</t>
    <phoneticPr fontId="2" type="noConversion"/>
  </si>
  <si>
    <t>26.2월 납입만기/유지필요</t>
    <phoneticPr fontId="2" type="noConversion"/>
  </si>
  <si>
    <t>경희 여성시대</t>
    <phoneticPr fontId="2" type="noConversion"/>
  </si>
  <si>
    <t>납입완료/41.6월 만기/유지필요</t>
    <phoneticPr fontId="2" type="noConversion"/>
  </si>
  <si>
    <t>경희 우체국</t>
    <phoneticPr fontId="2" type="noConversion"/>
  </si>
  <si>
    <t>법인카드사용분 월50만원</t>
    <phoneticPr fontId="2" type="noConversion"/>
  </si>
  <si>
    <t>월 Balance</t>
    <phoneticPr fontId="2" type="noConversion"/>
  </si>
  <si>
    <t>사용가능</t>
    <phoneticPr fontId="2" type="noConversion"/>
  </si>
  <si>
    <t>수입</t>
    <phoneticPr fontId="2" type="noConversion"/>
  </si>
  <si>
    <t>지출</t>
    <phoneticPr fontId="2" type="noConversion"/>
  </si>
  <si>
    <t>25년10월 기준</t>
    <phoneticPr fontId="2" type="noConversion"/>
  </si>
  <si>
    <t>국민연금</t>
    <phoneticPr fontId="2" type="noConversion"/>
  </si>
  <si>
    <t>관리비</t>
    <phoneticPr fontId="2" type="noConversion"/>
  </si>
  <si>
    <t>상가임대료</t>
    <phoneticPr fontId="2" type="noConversion"/>
  </si>
  <si>
    <t>어머님/회비</t>
    <phoneticPr fontId="2" type="noConversion"/>
  </si>
  <si>
    <t>급여</t>
    <phoneticPr fontId="2" type="noConversion"/>
  </si>
  <si>
    <t>통신/코웨이</t>
    <phoneticPr fontId="2" type="noConversion"/>
  </si>
  <si>
    <t>법인카드 사용</t>
    <phoneticPr fontId="2" type="noConversion"/>
  </si>
  <si>
    <t>보험</t>
    <phoneticPr fontId="2" type="noConversion"/>
  </si>
  <si>
    <t>경조사비/세금</t>
    <phoneticPr fontId="2" type="noConversion"/>
  </si>
  <si>
    <t>상가이자/노란우산</t>
    <phoneticPr fontId="2" type="noConversion"/>
  </si>
  <si>
    <t>보험대출이자</t>
    <phoneticPr fontId="2" type="noConversion"/>
  </si>
  <si>
    <t>건강보험(갑철)</t>
    <phoneticPr fontId="2" type="noConversion"/>
  </si>
  <si>
    <t>식비</t>
    <phoneticPr fontId="2" type="noConversion"/>
  </si>
  <si>
    <t>상가임대 : 초기 수개월 무료 / 월세는 100만원으로 계약해야함</t>
    <phoneticPr fontId="2" type="noConversion"/>
  </si>
  <si>
    <t>가용현금</t>
    <phoneticPr fontId="2" type="noConversion"/>
  </si>
  <si>
    <t>기초연금(2명)</t>
    <phoneticPr fontId="2" type="noConversion"/>
  </si>
  <si>
    <t>갑철 통신비 감소 (약정 변경 122,000-&gt; 71,000)</t>
    <phoneticPr fontId="2" type="noConversion"/>
  </si>
  <si>
    <t>경희 보유중</t>
    <phoneticPr fontId="2" type="noConversion"/>
  </si>
  <si>
    <t>KC정리잔금</t>
    <phoneticPr fontId="2" type="noConversion"/>
  </si>
  <si>
    <t>장모님</t>
    <phoneticPr fontId="2" type="noConversion"/>
  </si>
  <si>
    <t>현금사용</t>
    <phoneticPr fontId="2" type="noConversion"/>
  </si>
  <si>
    <t>주식투자중</t>
    <phoneticPr fontId="2" type="noConversion"/>
  </si>
  <si>
    <t>25.12.18 5천만 전액상환 / 26.1.7일 937만 재대출(주식투자),</t>
    <phoneticPr fontId="2" type="noConversion"/>
  </si>
  <si>
    <t>보험대출 재진행</t>
    <phoneticPr fontId="2" type="noConversion"/>
  </si>
  <si>
    <t>경희 직장임의계속가입/갑철 피부양자등록(26.1월부터)</t>
    <phoneticPr fontId="2" type="noConversion"/>
  </si>
  <si>
    <t>상가관리비</t>
    <phoneticPr fontId="2" type="noConversion"/>
  </si>
  <si>
    <t>갑철 피부양자 가능 (25년 총19,985,760 : 수령1,657,830(세금7,650포함))</t>
    <phoneticPr fontId="2" type="noConversion"/>
  </si>
  <si>
    <t>잔여현금</t>
    <phoneticPr fontId="2" type="noConversion"/>
  </si>
  <si>
    <t>26년 2.1% 인상되면, 피부양자 자격상실 가능 &gt; 경희와 통합하여 지역가입???</t>
    <phoneticPr fontId="2" type="noConversion"/>
  </si>
  <si>
    <t>주택가격</t>
    <phoneticPr fontId="2" type="noConversion"/>
  </si>
  <si>
    <t>초기증액형</t>
    <phoneticPr fontId="2" type="noConversion"/>
  </si>
  <si>
    <t>5년</t>
    <phoneticPr fontId="2" type="noConversion"/>
  </si>
  <si>
    <t>주택연금</t>
    <phoneticPr fontId="2" type="noConversion"/>
  </si>
  <si>
    <t>주택연금/저당권설정</t>
    <phoneticPr fontId="2" type="noConversion"/>
  </si>
  <si>
    <t>현금사용/저축</t>
    <phoneticPr fontId="2" type="noConversion"/>
  </si>
  <si>
    <t>보선 아파트매도전 오피스텔을 매도해야함</t>
    <phoneticPr fontId="2" type="noConversion"/>
  </si>
  <si>
    <t>상가매도</t>
    <phoneticPr fontId="2" type="noConversion"/>
  </si>
  <si>
    <t>매도잔액</t>
    <phoneticPr fontId="2" type="noConversion"/>
  </si>
  <si>
    <t>매도가격</t>
    <phoneticPr fontId="2" type="noConversion"/>
  </si>
  <si>
    <t>은행/보험대출</t>
    <phoneticPr fontId="2" type="noConversion"/>
  </si>
  <si>
    <t>노란폐업/청약해지</t>
    <phoneticPr fontId="2" type="noConversion"/>
  </si>
  <si>
    <t>디오스텔 매입</t>
    <phoneticPr fontId="2" type="noConversion"/>
  </si>
  <si>
    <t>매도/매입잔액</t>
    <phoneticPr fontId="2" type="noConversion"/>
  </si>
  <si>
    <t>구입총액(1채)</t>
    <phoneticPr fontId="2" type="noConversion"/>
  </si>
  <si>
    <t>임대료</t>
    <phoneticPr fontId="2" type="noConversion"/>
  </si>
  <si>
    <t>평균보유액 복리</t>
    <phoneticPr fontId="2" type="noConversion"/>
  </si>
  <si>
    <t>상속가능 자산</t>
    <phoneticPr fontId="2" type="noConversion"/>
  </si>
  <si>
    <t>손실</t>
    <phoneticPr fontId="2" type="noConversion"/>
  </si>
  <si>
    <t>150만 주식투자: 손실중 / 25.12.18일 5,500만 경희입금</t>
    <phoneticPr fontId="2" type="noConversion"/>
  </si>
  <si>
    <t>보험대출 투자 5,000만원은 상환완료</t>
    <phoneticPr fontId="2" type="noConversion"/>
  </si>
  <si>
    <t>태희 사무실로 활용(계약없이) / 임대료는 상황에 따라 현금으로</t>
    <phoneticPr fontId="2" type="noConversion"/>
  </si>
  <si>
    <t>보험대출 상환완료</t>
    <phoneticPr fontId="2" type="noConversion"/>
  </si>
  <si>
    <t>상가대출 상환완료</t>
    <phoneticPr fontId="2" type="noConversion"/>
  </si>
  <si>
    <t>보선 생활비</t>
    <phoneticPr fontId="2" type="noConversion"/>
  </si>
  <si>
    <t>갑철기본</t>
    <phoneticPr fontId="2" type="noConversion"/>
  </si>
  <si>
    <t>경조사비</t>
    <phoneticPr fontId="2" type="noConversion"/>
  </si>
  <si>
    <t>자동차세/연납</t>
    <phoneticPr fontId="2" type="noConversion"/>
  </si>
  <si>
    <t>보선생활비</t>
    <phoneticPr fontId="2" type="noConversion"/>
  </si>
  <si>
    <t>지수생활비</t>
    <phoneticPr fontId="2" type="noConversion"/>
  </si>
  <si>
    <t>통신</t>
    <phoneticPr fontId="2" type="noConversion"/>
  </si>
  <si>
    <t>보험대출 상환</t>
    <phoneticPr fontId="2" type="noConversion"/>
  </si>
  <si>
    <t>상가대출 상환</t>
    <phoneticPr fontId="2" type="noConversion"/>
  </si>
  <si>
    <t>상가임대/지수</t>
    <phoneticPr fontId="2" type="noConversion"/>
  </si>
  <si>
    <t>만기 : 경희 30만 26.2월, 경희 17만 28.2월, 갑철 21만 30년9월</t>
    <phoneticPr fontId="2" type="noConversion"/>
  </si>
  <si>
    <t>보험대출</t>
    <phoneticPr fontId="2" type="noConversion"/>
  </si>
  <si>
    <t>보험/자동차(수리)</t>
    <phoneticPr fontId="2" type="noConversion"/>
  </si>
  <si>
    <t>2026년4월 주택연금 가입 / 만65세</t>
    <phoneticPr fontId="2" type="noConversion"/>
  </si>
  <si>
    <t>28.12월 직장임의계속가입 만료 -&gt; 지역가입으로 전환 (공단에 확인필요)</t>
    <phoneticPr fontId="2" type="noConversion"/>
  </si>
  <si>
    <t xml:space="preserve"> - 갑철 국민연금 2,000만원 초과로 지역가입자에 해당</t>
    <phoneticPr fontId="2" type="noConversion"/>
  </si>
  <si>
    <t>경희 임대사업자 폐지 / 건강보험 재조정 필요 (갑철 연금 2,000만 초과)</t>
    <phoneticPr fontId="2" type="noConversion"/>
  </si>
  <si>
    <t>상가 조기매도 진행필요 : 임대료 -&gt; 목돈 &amp; 기초연금</t>
    <phoneticPr fontId="2" type="noConversion"/>
  </si>
  <si>
    <t>갑철리빙케어해지</t>
    <phoneticPr fontId="2" type="noConversion"/>
  </si>
  <si>
    <t>25.12월 기준_갑철리빙케어 해지</t>
    <phoneticPr fontId="2" type="noConversion"/>
  </si>
  <si>
    <t>차보험/수리/세금</t>
    <phoneticPr fontId="2" type="noConversion"/>
  </si>
  <si>
    <t>분기여행</t>
    <phoneticPr fontId="2" type="noConversion"/>
  </si>
  <si>
    <t>연금총액</t>
    <phoneticPr fontId="2" type="noConversion"/>
  </si>
  <si>
    <t>총액</t>
    <phoneticPr fontId="2" type="noConversion"/>
  </si>
  <si>
    <t>기초연금</t>
    <phoneticPr fontId="2" type="noConversion"/>
  </si>
  <si>
    <t>주택연금은 대출이므로, 기초연금 수급가능</t>
    <phoneticPr fontId="2" type="noConversion"/>
  </si>
  <si>
    <t xml:space="preserve"> - 태희 미사용시, 보선 공간임대업 / 무상임대로 계약도 검토</t>
    <phoneticPr fontId="2" type="noConversion"/>
  </si>
  <si>
    <t>건강보험</t>
    <phoneticPr fontId="2" type="noConversion"/>
  </si>
  <si>
    <t>건강보험/지역전환</t>
    <phoneticPr fontId="2" type="noConversion"/>
  </si>
  <si>
    <t>인테리어/가구교체</t>
    <phoneticPr fontId="2" type="noConversion"/>
  </si>
  <si>
    <t>SK-1</t>
    <phoneticPr fontId="2" type="noConversion"/>
  </si>
  <si>
    <t>SK-2</t>
    <phoneticPr fontId="2" type="noConversion"/>
  </si>
  <si>
    <t>코웨이-1</t>
    <phoneticPr fontId="2" type="noConversion"/>
  </si>
  <si>
    <t>코웨이-2</t>
  </si>
  <si>
    <t>코웨이-3</t>
  </si>
  <si>
    <t>월별</t>
    <phoneticPr fontId="2" type="noConversion"/>
  </si>
  <si>
    <t>국민카드 이용내역 : 관리비 / 통신비 / 코웨이</t>
    <phoneticPr fontId="2" type="noConversion"/>
  </si>
  <si>
    <t>월평균</t>
    <phoneticPr fontId="2" type="noConversion"/>
  </si>
  <si>
    <t>관리비/코웨이</t>
    <phoneticPr fontId="2" type="noConversion"/>
  </si>
  <si>
    <t>통신비</t>
    <phoneticPr fontId="2" type="noConversion"/>
  </si>
  <si>
    <t>코웨이</t>
    <phoneticPr fontId="2" type="noConversion"/>
  </si>
  <si>
    <t>만기납입액</t>
    <phoneticPr fontId="2" type="noConversion"/>
  </si>
  <si>
    <t>26.3월 기준 : 만기납입액 / 실손제외(실손보험료 만기환급은 확인필요)</t>
    <phoneticPr fontId="2" type="noConversion"/>
  </si>
  <si>
    <t>2056년 에상</t>
    <phoneticPr fontId="2" type="noConversion"/>
  </si>
  <si>
    <t>만기환급무</t>
    <phoneticPr fontId="2" type="noConversion"/>
  </si>
  <si>
    <t>해지환급금(26.3)</t>
    <phoneticPr fontId="2" type="noConversion"/>
  </si>
  <si>
    <t>보험환급액</t>
    <phoneticPr fontId="2" type="noConversion"/>
  </si>
  <si>
    <t>상속예상액</t>
    <phoneticPr fontId="2" type="noConversion"/>
  </si>
  <si>
    <t>사망보험금</t>
    <phoneticPr fontId="2" type="noConversion"/>
  </si>
  <si>
    <t>지수대출/증여</t>
    <phoneticPr fontId="2" type="noConversion"/>
  </si>
  <si>
    <t>재개발시 : 저당권방식으로 변경후 연금계속가능, 이주비대출은 안될가능성</t>
    <phoneticPr fontId="2" type="noConversion"/>
  </si>
  <si>
    <t xml:space="preserve">  - 보증잔액이 많아, 해지에의한 재개발이익 취득은 어려울것임</t>
    <phoneticPr fontId="2" type="noConversion"/>
  </si>
  <si>
    <t>월지급금</t>
    <phoneticPr fontId="2" type="noConversion"/>
  </si>
  <si>
    <t>년간 지급금</t>
    <phoneticPr fontId="2" type="noConversion"/>
  </si>
  <si>
    <t>보증료</t>
    <phoneticPr fontId="2" type="noConversion"/>
  </si>
  <si>
    <t>대출이자</t>
    <phoneticPr fontId="2" type="noConversion"/>
  </si>
  <si>
    <t>누적지급금</t>
    <phoneticPr fontId="2" type="noConversion"/>
  </si>
  <si>
    <t>연령</t>
    <phoneticPr fontId="2" type="noConversion"/>
  </si>
  <si>
    <t>해수</t>
    <phoneticPr fontId="2" type="noConversion"/>
  </si>
  <si>
    <t>보증잔액(상환대출금)</t>
    <phoneticPr fontId="2" type="noConversion"/>
  </si>
  <si>
    <t xml:space="preserve"> - 100세 이후 대비</t>
    <phoneticPr fontId="2" type="noConversion"/>
  </si>
  <si>
    <t xml:space="preserve"> - 설정비용은 많지않음</t>
    <phoneticPr fontId="2" type="noConversion"/>
  </si>
  <si>
    <t>재개발 진행시</t>
    <phoneticPr fontId="2" type="noConversion"/>
  </si>
  <si>
    <t>1) 저당권방식으로 전환(저당비용 발생)해서, 공사가 조합원자격을 유지해야함</t>
    <phoneticPr fontId="2" type="noConversion"/>
  </si>
  <si>
    <t>2) 조합의 이주비용 대출을 받지 못하고, 건축기간중 주거는 본인이 해결해야함</t>
    <phoneticPr fontId="2" type="noConversion"/>
  </si>
  <si>
    <t>3) 연금은 계속 지급됨</t>
    <phoneticPr fontId="2" type="noConversion"/>
  </si>
  <si>
    <t>4) 재개발 완료후, 주택가격 재평가로 연금수급액 조정</t>
    <phoneticPr fontId="2" type="noConversion"/>
  </si>
  <si>
    <t>1) 보증잔액을 상환해야함</t>
    <phoneticPr fontId="2" type="noConversion"/>
  </si>
  <si>
    <t>해지 &amp; 이사시</t>
    <phoneticPr fontId="2" type="noConversion"/>
  </si>
  <si>
    <t>2) 주택매도는 본인이 진행할수 있음 (공사는 공매처분)</t>
    <phoneticPr fontId="2" type="noConversion"/>
  </si>
  <si>
    <t>3) 해지 / 주택 재매수시, 주택연금 재가입가능</t>
    <phoneticPr fontId="2" type="noConversion"/>
  </si>
  <si>
    <t>4) 해지후 동일주택으로 재가입시는 계약시 주택가격 이하로만 재가입 가능 (주택가격 상승으로는 재가입 불가)</t>
    <phoneticPr fontId="2" type="noConversion"/>
  </si>
  <si>
    <t>실거주 의무는 완화되고 있는 추세임</t>
    <phoneticPr fontId="2" type="noConversion"/>
  </si>
  <si>
    <t>1) 이후 실거주의무가 완화되면, 기존가입자에게도 적용될 것으로 생각함</t>
    <phoneticPr fontId="2" type="noConversion"/>
  </si>
  <si>
    <t>년도별 지급금 &amp; 보증잔액 (최대인출가능 : 156,865,000원)</t>
    <phoneticPr fontId="2" type="noConversion"/>
  </si>
  <si>
    <t>2) 신탁방식으로 연금주택의 보증금이 있는 월세 가능 (보증금은 공사에서 관리 / 이자지급)</t>
    <phoneticPr fontId="2" type="noConversion"/>
  </si>
  <si>
    <t xml:space="preserve">3) 실거주의무 예외적용되면 연금주택을 월세주고, 지방의 저가주택 구입 또는 월세생활 가능 </t>
    <phoneticPr fontId="2" type="noConversion"/>
  </si>
  <si>
    <t>4) 총12억 이하에서는 연금주택이외의 주택 추가매입이 가능함</t>
    <phoneticPr fontId="2" type="noConversion"/>
  </si>
  <si>
    <t>초기보증료</t>
    <phoneticPr fontId="2" type="noConversion"/>
  </si>
  <si>
    <t>신탁방식(배우자 자동승계), 26/3/30일 신청</t>
    <phoneticPr fontId="2" type="noConversion"/>
  </si>
  <si>
    <t>최대 인출한도금액</t>
    <phoneticPr fontId="2" type="noConversion"/>
  </si>
  <si>
    <t>1) 인출하면 연금액이 조정됨 - 감액이 매우 큼</t>
    <phoneticPr fontId="2" type="noConversion"/>
  </si>
  <si>
    <t>2) 1회에 한해서, 인출후 상환(이자포함)하면 연금액이 원래대로 재조정 가능함</t>
    <phoneticPr fontId="2" type="noConversion"/>
  </si>
  <si>
    <t>기초연금 산정시는 대출금으로 계산됨</t>
    <phoneticPr fontId="2" type="noConversion"/>
  </si>
  <si>
    <t>2) 기초생활보호대상자는 50%가 소득으로 인정됨</t>
    <phoneticPr fontId="2" type="noConversion"/>
  </si>
  <si>
    <t>재산세 / 주택관리비 일체는 본인부담임</t>
    <phoneticPr fontId="2" type="noConversion"/>
  </si>
  <si>
    <t>1) 재산세는 25% 감면됨</t>
    <phoneticPr fontId="2" type="noConversion"/>
  </si>
  <si>
    <t>잔여 현금</t>
    <phoneticPr fontId="2" type="noConversion"/>
  </si>
  <si>
    <t>보험 상속</t>
    <phoneticPr fontId="2" type="noConversion"/>
  </si>
  <si>
    <t>연금-보증잔액</t>
    <phoneticPr fontId="2" type="noConversion"/>
  </si>
  <si>
    <t>주택가 상승시 해지 &amp; 매도 / 작은평 매입 / 주택연금 재가입 가능</t>
    <phoneticPr fontId="2" type="noConversion"/>
  </si>
  <si>
    <t>(받은연금-보증잔액 : 초기에는 크지않음)과 주택가 상승액 비교</t>
    <phoneticPr fontId="2" type="noConversion"/>
  </si>
  <si>
    <t>년도</t>
    <phoneticPr fontId="2" type="noConversion"/>
  </si>
  <si>
    <t>주택가 :</t>
    <phoneticPr fontId="2" type="noConversion"/>
  </si>
  <si>
    <t>매년4월말 기준</t>
    <phoneticPr fontId="2" type="noConversion"/>
  </si>
  <si>
    <t>동일주택/평가금상향만 재가입불가</t>
    <phoneticPr fontId="2" type="noConversion"/>
  </si>
  <si>
    <t>1) 62평 : 8.5억으로 인상</t>
    <phoneticPr fontId="2" type="noConversion"/>
  </si>
  <si>
    <t>최상의 시나리오 : 2028년</t>
    <phoneticPr fontId="2" type="noConversion"/>
  </si>
  <si>
    <t>3) 차액발생 : 2.0억 / 보증잔액제외 1.0억</t>
    <phoneticPr fontId="2" type="noConversion"/>
  </si>
  <si>
    <t>※ 연금액은 유지(5년은 인상) &amp; 차액 1.0억 발생</t>
    <phoneticPr fontId="2" type="noConversion"/>
  </si>
  <si>
    <t xml:space="preserve">   : 기수령 연금액제외시, 2천만원 상환임</t>
    <phoneticPr fontId="2" type="noConversion"/>
  </si>
  <si>
    <t xml:space="preserve">   : 초기증액형(5년) - 225만(5년) / 158만</t>
    <phoneticPr fontId="2" type="noConversion"/>
  </si>
  <si>
    <t>※ 해지/매도/매수기간중 1억원 자금소요(방안?)</t>
    <phoneticPr fontId="2" type="noConversion"/>
  </si>
  <si>
    <t>&lt;&lt;2027년말 7호선 개통&gt;&gt;</t>
    <phoneticPr fontId="2" type="noConversion"/>
  </si>
  <si>
    <t>주택가 1억이상 인상시 해지/매도매입/재가입 고려</t>
    <phoneticPr fontId="2" type="noConversion"/>
  </si>
  <si>
    <t>: 상가 3억에 매도???, 보험대출 총1.3억 가능</t>
    <phoneticPr fontId="2" type="noConversion"/>
  </si>
  <si>
    <t>재산세 년45만원</t>
    <phoneticPr fontId="2" type="noConversion"/>
  </si>
  <si>
    <t>월150만원 x 15년 : 창순 사업자금으로 활용가능</t>
    <phoneticPr fontId="2" type="noConversion"/>
  </si>
  <si>
    <t>보선월세수입</t>
    <phoneticPr fontId="2" type="noConversion"/>
  </si>
  <si>
    <t>보선월세수입 포함</t>
  </si>
  <si>
    <t>보선월세수입 포함</t>
    <phoneticPr fontId="2" type="noConversion"/>
  </si>
  <si>
    <t>보선 월세수입 2.7억 추가고려</t>
    <phoneticPr fontId="2" type="noConversion"/>
  </si>
  <si>
    <t>주택연금 최대효과</t>
    <phoneticPr fontId="2" type="noConversion"/>
  </si>
  <si>
    <t>2024년4월 - 2025년11월 Balance: 사용가능액 월150만원</t>
    <phoneticPr fontId="2" type="noConversion"/>
  </si>
  <si>
    <t>월150만원 x 30년</t>
    <phoneticPr fontId="2" type="noConversion"/>
  </si>
  <si>
    <t>좋은집에서 보선/지수와 살기(주택비 절감), 조기사망/주택가격 상승시는 일부상속 가능, 재개발시 토지보상금효과 기대</t>
    <phoneticPr fontId="2" type="noConversion"/>
  </si>
  <si>
    <t>수령액 복리합계</t>
    <phoneticPr fontId="2" type="noConversion"/>
  </si>
  <si>
    <t>1,5억 수시인출 가능 : 이자는 연금에서 삭감 / 상환시 연금 정상화됨</t>
    <phoneticPr fontId="2" type="noConversion"/>
  </si>
  <si>
    <t>주택연금(대출로 계산)으로 수급액 증가 가능</t>
    <phoneticPr fontId="2" type="noConversion"/>
  </si>
  <si>
    <t>주택가 상승시 해지/매도/33평매입&amp;재가입 진행필요 (받은연금-보증잔액 : 초기에는 크지않음)</t>
    <phoneticPr fontId="2" type="noConversion"/>
  </si>
  <si>
    <t>재개발시 : 저당권방식으로 변경후 연금계속가능/이주비대출은 안됨/재개발후 집값변동은 연금에 반영됨</t>
    <phoneticPr fontId="2" type="noConversion"/>
  </si>
  <si>
    <t xml:space="preserve">  - 55세이상인 자녀가 동일주택으로 계속가입도 가능함 (채무상환없이, 조건은 공사와 협의필요)</t>
    <phoneticPr fontId="2" type="noConversion"/>
  </si>
  <si>
    <t>주택가격이 떨어지면 가입효과가 더 커짐(연금은 변동없이 동일함)</t>
    <phoneticPr fontId="2" type="noConversion"/>
  </si>
  <si>
    <t>주택가격이 떨어졌다가, 개개발로 가치가 다시 상승한다면 효과는 훨씬 더 커짐</t>
    <phoneticPr fontId="2" type="noConversion"/>
  </si>
  <si>
    <t>보선 55세이후에는 이어서 주택연금가입 가능 (공사의 재평가는 필요할 것이며, 제도는 유리한 방향으로 계속 개선돨 것임)</t>
    <phoneticPr fontId="2" type="noConversion"/>
  </si>
  <si>
    <t>월세활용 &amp; 지방(실버타운/요양원)생활 or 2.5억이하 집으로 이사(연금우대 +20%/공사협의)</t>
    <phoneticPr fontId="2" type="noConversion"/>
  </si>
  <si>
    <t>인테리어/타이어교체</t>
    <phoneticPr fontId="2" type="noConversion"/>
  </si>
  <si>
    <t>태희 연희신규단지 상가로 이전??? / 주택연금(대출)로 기초연금 수급은 유지가능</t>
    <phoneticPr fontId="2" type="noConversion"/>
  </si>
  <si>
    <t xml:space="preserve"> - 금융자산과 보증잔액이 유사함</t>
    <phoneticPr fontId="2" type="noConversion"/>
  </si>
  <si>
    <t>보선/창순 : 월세수입 or 아파트 매도후 투자사업 가능</t>
    <phoneticPr fontId="2" type="noConversion"/>
  </si>
  <si>
    <t>사무실 계약 : 월30만원(부가세별도/세금계산서 발행) + 현금 월20만원</t>
    <phoneticPr fontId="2" type="noConversion"/>
  </si>
  <si>
    <t xml:space="preserve">  - 30만원이상시 감액 (50만원시 월-17.5만) : 사업소득으로는 무관하나, 계약서금액으로 선반영함</t>
    <phoneticPr fontId="2" type="noConversion"/>
  </si>
  <si>
    <t>보선 저리(2%) 대출 검토</t>
    <phoneticPr fontId="2" type="noConversion"/>
  </si>
  <si>
    <t>보선분가로 관리비 감소</t>
    <phoneticPr fontId="2" type="noConversion"/>
  </si>
  <si>
    <t>95세 기준</t>
    <phoneticPr fontId="2" type="noConversion"/>
  </si>
  <si>
    <t>2025년12월-2026년3월 : 0년4개월(4개월)</t>
    <phoneticPr fontId="2" type="noConversion"/>
  </si>
  <si>
    <t>26년4월 - 27년3월 : 1년0개월(12개월)</t>
    <phoneticPr fontId="2" type="noConversion"/>
  </si>
  <si>
    <t>27년4월 - 29년3월 : 2년0개월(24개월)</t>
    <phoneticPr fontId="2" type="noConversion"/>
  </si>
  <si>
    <t>29년4월 - 31년3월 : 2년0개월(24개월)</t>
    <phoneticPr fontId="2" type="noConversion"/>
  </si>
  <si>
    <t>2031년3월 상가 매도</t>
    <phoneticPr fontId="2" type="noConversion"/>
  </si>
  <si>
    <t>2031년3월 보선디오스텔 매입 - 포기</t>
    <phoneticPr fontId="2" type="noConversion"/>
  </si>
  <si>
    <t>31년4월 - 36년3월 : 5년0개월(60개월) : 70-74세</t>
    <phoneticPr fontId="2" type="noConversion"/>
  </si>
  <si>
    <t>36년4월 - 41년3월 : 5년0개월(60개월) : 75-79세</t>
    <phoneticPr fontId="2" type="noConversion"/>
  </si>
  <si>
    <t>2041년4월 - 2046년3월 : 5년0개월(60개월) : 80-84세</t>
    <phoneticPr fontId="2" type="noConversion"/>
  </si>
  <si>
    <t>2046년4월 - 2051년3월 : 5년0개월(60개월) : 85-89세</t>
    <phoneticPr fontId="2" type="noConversion"/>
  </si>
  <si>
    <t>2051년4월 - 2056년3월 : 5년0개월(60개월) : 90-94세</t>
    <phoneticPr fontId="2" type="noConversion"/>
  </si>
  <si>
    <t>26.4월-31.3월</t>
    <phoneticPr fontId="2" type="noConversion"/>
  </si>
  <si>
    <t>31년4월 이후</t>
    <phoneticPr fontId="2" type="noConversion"/>
  </si>
  <si>
    <t>알뜰폰으로 변경 (국민은행 KB리브모바일)</t>
    <phoneticPr fontId="2" type="noConversion"/>
  </si>
  <si>
    <r>
      <t xml:space="preserve">23.6월 납입완료, </t>
    </r>
    <r>
      <rPr>
        <b/>
        <sz val="11"/>
        <color rgb="FF0000FF"/>
        <rFont val="맑은 고딕"/>
        <family val="3"/>
        <charset val="129"/>
        <scheme val="minor"/>
      </rPr>
      <t>80세까지 사고사망시 4억원</t>
    </r>
    <phoneticPr fontId="2" type="noConversion"/>
  </si>
  <si>
    <t>갑철 자동출금</t>
    <phoneticPr fontId="2" type="noConversion"/>
  </si>
  <si>
    <t>보험대출 이자</t>
    <phoneticPr fontId="2" type="noConversion"/>
  </si>
  <si>
    <t>SKT</t>
    <phoneticPr fontId="2" type="noConversion"/>
  </si>
  <si>
    <t>백세회</t>
    <phoneticPr fontId="2" type="noConversion"/>
  </si>
  <si>
    <t>우체국보험</t>
    <phoneticPr fontId="2" type="noConversion"/>
  </si>
  <si>
    <t>국민카드</t>
    <phoneticPr fontId="2" type="noConversion"/>
  </si>
  <si>
    <t>26.6월 만기</t>
    <phoneticPr fontId="2" type="noConversion"/>
  </si>
  <si>
    <t>26.6월 만기/7월부터 태희납부</t>
    <phoneticPr fontId="2" type="noConversion"/>
  </si>
  <si>
    <t>잔액/사용가능</t>
    <phoneticPr fontId="2" type="noConversion"/>
  </si>
  <si>
    <t>경희 자동출금</t>
    <phoneticPr fontId="2" type="noConversion"/>
  </si>
  <si>
    <t>가족회비/어머님</t>
    <phoneticPr fontId="2" type="noConversion"/>
  </si>
  <si>
    <t>상가대출/노란우산</t>
    <phoneticPr fontId="2" type="noConversion"/>
  </si>
  <si>
    <t>26/3/30일 신청 // '26/4/29일부터 매월29일 입금 (26/4/24 국민은행 서류작성 완료)</t>
    <phoneticPr fontId="2" type="noConversion"/>
  </si>
  <si>
    <t xml:space="preserve"> : 인출시는 주택금융공사와 진행필요</t>
    <phoneticPr fontId="2" type="noConversion"/>
  </si>
  <si>
    <t>BC카드</t>
    <phoneticPr fontId="2" type="noConversion"/>
  </si>
  <si>
    <t>의료비 : 실손보험 활용, 추가금액은???</t>
    <phoneticPr fontId="2" type="noConversion"/>
  </si>
  <si>
    <t>: 갑철 리빙케어 해지 8천만(?) 가능</t>
    <phoneticPr fontId="2" type="noConversion"/>
  </si>
  <si>
    <t>2) 33평 (or 43평) /저층 : 6.0억으로 인상 (실비용 6.5억)</t>
    <phoneticPr fontId="2" type="noConversion"/>
  </si>
  <si>
    <t>4) 33평 (or 43평) 주택연금 가입 : 평가액 6.5억</t>
    <phoneticPr fontId="2" type="noConversion"/>
  </si>
  <si>
    <t>주택가인상시 해지/매도 =&gt; 작은평 매수 / 재가입</t>
    <phoneticPr fontId="2" type="noConversion"/>
  </si>
  <si>
    <t xml:space="preserve"> =&gt; 이사후 재평가로 연금액 상향조정도 좋은 방법임</t>
    <phoneticPr fontId="2" type="noConversion"/>
  </si>
  <si>
    <t>주택월세(거주비)</t>
    <phoneticPr fontId="2" type="noConversion"/>
  </si>
  <si>
    <t>주택평가잔액/상가</t>
    <phoneticPr fontId="2" type="noConversion"/>
  </si>
  <si>
    <t>주택평가액 7억으로 고려 / 상가매도 태희상황으로 결정</t>
    <phoneticPr fontId="2" type="noConversion"/>
  </si>
  <si>
    <t>코웨이-4</t>
    <phoneticPr fontId="2" type="noConversion"/>
  </si>
  <si>
    <t>2026년 6월부터</t>
    <phoneticPr fontId="2" type="noConversion"/>
  </si>
  <si>
    <t>보험 : 5월 100만원(주차장사고로 인상?), 년수리비 120만원. 자동차세 년60만</t>
    <phoneticPr fontId="2" type="noConversion"/>
  </si>
  <si>
    <t>기초연금 총자산</t>
    <phoneticPr fontId="2" type="noConversion"/>
  </si>
  <si>
    <t>갑철기본/유산균</t>
    <phoneticPr fontId="2" type="noConversion"/>
  </si>
  <si>
    <t>커피 15만 / 금연 / 유산균 년140만</t>
    <phoneticPr fontId="2" type="noConversion"/>
  </si>
  <si>
    <t>경조사비 월30만원, 재산세 년60만원 &amp; 상가 36만원 &amp; 종소세 10만 &amp; 수수료 25만</t>
    <phoneticPr fontId="2" type="noConversion"/>
  </si>
  <si>
    <t>경조사비 20만원, 재산세 년45만원</t>
    <phoneticPr fontId="2" type="noConversion"/>
  </si>
  <si>
    <r>
      <t>보선/서연 주소이전후 에너지바우처 신청완료</t>
    </r>
    <r>
      <rPr>
        <sz val="10"/>
        <rFont val="맑은 고딕"/>
        <family val="3"/>
        <charset val="129"/>
        <scheme val="minor"/>
      </rPr>
      <t xml:space="preserve"> / 25.4-26.3월 평균 : 600,600원 (26.6월부터 비데2</t>
    </r>
    <r>
      <rPr>
        <b/>
        <sz val="10"/>
        <color rgb="FF0000FF"/>
        <rFont val="맑은 고딕"/>
        <family val="3"/>
        <charset val="129"/>
        <scheme val="minor"/>
      </rPr>
      <t xml:space="preserve"> +17,280)</t>
    </r>
    <phoneticPr fontId="2" type="noConversion"/>
  </si>
  <si>
    <t>상가관리비/주차비</t>
    <phoneticPr fontId="2" type="noConversion"/>
  </si>
  <si>
    <t>실보유 금액</t>
    <phoneticPr fontId="2" type="noConversion"/>
  </si>
  <si>
    <t>사무실준비/차량수리</t>
    <phoneticPr fontId="2" type="noConversion"/>
  </si>
  <si>
    <r>
      <rPr>
        <b/>
        <sz val="10"/>
        <color rgb="FFC00000"/>
        <rFont val="맑은 고딕"/>
        <family val="3"/>
        <charset val="129"/>
      </rPr>
      <t xml:space="preserve">※ </t>
    </r>
    <r>
      <rPr>
        <b/>
        <sz val="10"/>
        <color rgb="FFC00000"/>
        <rFont val="맑은 고딕"/>
        <family val="3"/>
        <charset val="129"/>
        <scheme val="minor"/>
      </rPr>
      <t>금리 년2.0% 계산/고금리 발굴필요</t>
    </r>
    <phoneticPr fontId="2" type="noConversion"/>
  </si>
  <si>
    <t>담배</t>
    <phoneticPr fontId="2" type="noConversion"/>
  </si>
  <si>
    <t>커피</t>
    <phoneticPr fontId="2" type="noConversion"/>
  </si>
  <si>
    <t>물</t>
    <phoneticPr fontId="2" type="noConversion"/>
  </si>
  <si>
    <t>소비량</t>
    <phoneticPr fontId="2" type="noConversion"/>
  </si>
  <si>
    <t>세븐</t>
    <phoneticPr fontId="2" type="noConversion"/>
  </si>
  <si>
    <t>절감</t>
    <phoneticPr fontId="2" type="noConversion"/>
  </si>
  <si>
    <t>일일</t>
    <phoneticPr fontId="2" type="noConversion"/>
  </si>
  <si>
    <t>월간</t>
    <phoneticPr fontId="2" type="noConversion"/>
  </si>
  <si>
    <t>일반/기준</t>
    <phoneticPr fontId="2" type="noConversion"/>
  </si>
  <si>
    <t>편의점 점감금액 / 금연</t>
    <phoneticPr fontId="2" type="noConversion"/>
  </si>
  <si>
    <t>갑철 입금</t>
    <phoneticPr fontId="2" type="noConversion"/>
  </si>
  <si>
    <t>경희 입금</t>
    <phoneticPr fontId="2" type="noConversion"/>
  </si>
  <si>
    <t>갑철 이체</t>
    <phoneticPr fontId="2" type="noConversion"/>
  </si>
  <si>
    <t>경희 이체</t>
    <phoneticPr fontId="2" type="noConversion"/>
  </si>
  <si>
    <t>경조/세금/보험</t>
    <phoneticPr fontId="2" type="noConversion"/>
  </si>
  <si>
    <t>자동차세/재산세/경조비</t>
    <phoneticPr fontId="2" type="noConversion"/>
  </si>
  <si>
    <t>사용예상금액</t>
    <phoneticPr fontId="2" type="noConversion"/>
  </si>
  <si>
    <t xml:space="preserve"> 25.4-26.3월 평균 : 618,000원 (코웨이 비데추가 +17.280) </t>
    <phoneticPr fontId="2" type="noConversion"/>
  </si>
  <si>
    <t xml:space="preserve">  - 30만원이상시 감액 (50만원시 월-17.5만) : 실사업소득으로는 50만원도 무관하나, 계약서금액으로 선반영함</t>
    <phoneticPr fontId="2" type="noConversion"/>
  </si>
  <si>
    <t>1) 자산은 주택가격으로, 연금수령액은 대출금으로 계산됨 (소득으로 인정되지 않음)</t>
    <phoneticPr fontId="2" type="noConversion"/>
  </si>
  <si>
    <t>누적수령액</t>
    <phoneticPr fontId="2" type="noConversion"/>
  </si>
  <si>
    <t>재산환산(월)</t>
    <phoneticPr fontId="2" type="noConversion"/>
  </si>
  <si>
    <t>수령액누계</t>
    <phoneticPr fontId="2" type="noConversion"/>
  </si>
  <si>
    <t>재산환산차감</t>
    <phoneticPr fontId="2" type="noConversion"/>
  </si>
  <si>
    <t>현금이자소득</t>
    <phoneticPr fontId="2" type="noConversion"/>
  </si>
  <si>
    <t>2036년 주택연금 누계수령액</t>
    <phoneticPr fontId="2" type="noConversion"/>
  </si>
  <si>
    <t>소득변동액</t>
    <phoneticPr fontId="2" type="noConversion"/>
  </si>
  <si>
    <t>2041년 주택연금 누계수령액</t>
    <phoneticPr fontId="2" type="noConversion"/>
  </si>
  <si>
    <t>2046년 주택연금 누계수령액</t>
    <phoneticPr fontId="2" type="noConversion"/>
  </si>
  <si>
    <t>2051년 주택연금 누계수령액</t>
    <phoneticPr fontId="2" type="noConversion"/>
  </si>
  <si>
    <t>기초연금 제도변화 관찰 &amp; 대응 필요</t>
    <phoneticPr fontId="2" type="noConversion"/>
  </si>
  <si>
    <t>2031년 주택연금 누계수령액</t>
    <phoneticPr fontId="2" type="noConversion"/>
  </si>
  <si>
    <t>손주 증여 &amp; 비공식현금증여도 진행검토 (매월 현금지급, 카드사용 등)</t>
    <phoneticPr fontId="2" type="noConversion"/>
  </si>
  <si>
    <t>상가 : 자산/부채 Zero화 &amp; 현금보유액 증가 =&gt; 기초연금은???</t>
    <phoneticPr fontId="2" type="noConversion"/>
  </si>
  <si>
    <t>주택가격(26년 6.85억) 변동액 추가반영 필요</t>
    <phoneticPr fontId="2" type="noConversion"/>
  </si>
  <si>
    <t xml:space="preserve">  - 26년4월의 상가 평가금액은???</t>
    <phoneticPr fontId="2" type="noConversion"/>
  </si>
  <si>
    <t>주택평가잔액/No상가</t>
    <phoneticPr fontId="2" type="noConversion"/>
  </si>
  <si>
    <t>보선과 30년 같이살 경우 / 주택연금 최대효과</t>
    <phoneticPr fontId="2" type="noConversion"/>
  </si>
  <si>
    <t>26.6월 납입만기/41.7월까지 보장</t>
    <phoneticPr fontId="2" type="noConversion"/>
  </si>
  <si>
    <t xml:space="preserve"> - 26.7월 만기배당금 44만원수령 : 렌지후드교체(44만원)</t>
    <phoneticPr fontId="2" type="noConversion"/>
  </si>
  <si>
    <t xml:space="preserve"> - 일반사망보험금 : 2,000만원, 재해/질병 4,000-6,000만원</t>
    <phoneticPr fontId="2" type="noConversion"/>
  </si>
  <si>
    <t xml:space="preserve"> * 80세 보장만기시에는 환급금이 있는지???</t>
    <phoneticPr fontId="2" type="noConversion"/>
  </si>
  <si>
    <t xml:space="preserve"> * 26.7월 경희우체국보험 만기배당금 44만원 수령 (렌지후드교체로 사용)</t>
    <phoneticPr fontId="2" type="noConversion"/>
  </si>
  <si>
    <t>Q) 주택이 재해로 멸실되면 주택연금 못받나?</t>
    <phoneticPr fontId="2" type="noConversion"/>
  </si>
  <si>
    <t>평생수령 (30년으로 계산) / 보증잔액초과분 상속없이 주택처분으로 소멸</t>
    <phoneticPr fontId="2" type="noConversion"/>
  </si>
  <si>
    <t>다만, 거주를 지속해야 연금이 나오기 때문에 주택을 보수거나 새로 지어야 한다. (3년내)</t>
    <phoneticPr fontId="2" type="noConversion"/>
  </si>
  <si>
    <t>거주 주택이 재해나 화재로 멸실되도 연금을 계속 받을 수 있다. (즉시 공사에 알리고 협의필요)</t>
    <phoneticPr fontId="2" type="noConversion"/>
  </si>
  <si>
    <t>상해사망 / 상해 후유장애(3-100%)</t>
    <phoneticPr fontId="2" type="noConversion"/>
  </si>
  <si>
    <t>자동차사고 부상치료지원금 2</t>
    <phoneticPr fontId="2" type="noConversion"/>
  </si>
  <si>
    <t>교통사고 처리지원금7(중상해보장확대)</t>
    <phoneticPr fontId="2" type="noConversion"/>
  </si>
  <si>
    <t>교통사고 처리지원금7(부상)</t>
    <phoneticPr fontId="2" type="noConversion"/>
  </si>
  <si>
    <t>운전자 벌금 (대인)</t>
    <phoneticPr fontId="2" type="noConversion"/>
  </si>
  <si>
    <t>운전자 벌금 (대물)</t>
    <phoneticPr fontId="2" type="noConversion"/>
  </si>
  <si>
    <t>교통사고 처리지원금(6주미만부상,주대법규위반)3</t>
    <phoneticPr fontId="2" type="noConversion"/>
  </si>
  <si>
    <t>자동차운전중 보복운전 피해위로금</t>
    <phoneticPr fontId="2" type="noConversion"/>
  </si>
  <si>
    <t>자동차사고 민사소송 법률비용손해</t>
    <phoneticPr fontId="2" type="noConversion"/>
  </si>
  <si>
    <t>가족 일상생활중 배상책임2</t>
    <phoneticPr fontId="2" type="noConversion"/>
  </si>
  <si>
    <t>(공제)가족 일상생활중 배상책임2</t>
    <phoneticPr fontId="2" type="noConversion"/>
  </si>
  <si>
    <t>자동차사고 변호사선임비용7(경찰조사포함)</t>
    <phoneticPr fontId="2" type="noConversion"/>
  </si>
  <si>
    <t>예상만기환급금(2044.8월)</t>
    <phoneticPr fontId="2" type="noConversion"/>
  </si>
  <si>
    <t>별도&gt; 운전자보험(20년) : 무배당 사멍화재 운전자보험 안전운전 파트너 플러스(2404.6) 1종(연만기/납입면제형)</t>
    <phoneticPr fontId="2" type="noConversion"/>
  </si>
  <si>
    <t xml:space="preserve">2024. 8. 9 - 2044. 8. 8일 (매년 9월 갱신, 83세까지 운전) </t>
    <phoneticPr fontId="2" type="noConversion"/>
  </si>
  <si>
    <t>36년 면허반납 / 계속운전? (제네시스20년) / 운전자보험 2044년 만기</t>
    <phoneticPr fontId="2" type="noConversion"/>
  </si>
  <si>
    <t>만기 : 경희 17만 28.2월, 갑철 10만 30년9월(11만 계속). 경희우체국 26.6월(80세보장), 운전자보험 3만, 화재보험 2만</t>
    <phoneticPr fontId="2" type="noConversion"/>
  </si>
  <si>
    <t>만기 : 경희 30만 26.2월-&gt;17만 28.2월, 갑철 21만 30년9월-&gt;11만, 운전자보함 3만, 화재보험 2만</t>
    <phoneticPr fontId="2" type="noConversion"/>
  </si>
  <si>
    <t>만기 : 경희 30만 26.2월-&gt;17만 28.2월, 갑철 21만 30년9월-&gt;11만, 운전자보험 3만, 화재보험 2만</t>
    <phoneticPr fontId="2" type="noConversion"/>
  </si>
  <si>
    <t>실손보험(평생납입), 운전자보험 3만. 화재보험 2만</t>
    <phoneticPr fontId="2" type="noConversion"/>
  </si>
  <si>
    <t>실손보험(평생납입), 화재보험 2만(일상생활 배상책임 추가필요)</t>
    <phoneticPr fontId="2" type="noConversion"/>
  </si>
  <si>
    <t>별도&gt; KB손해보험 : 다이렉트주택화재보험 - 5년만기(2026.7.22-2031.7.22)</t>
    <phoneticPr fontId="2" type="noConversion"/>
  </si>
  <si>
    <t>화재손해(실손보상)</t>
    <phoneticPr fontId="2" type="noConversion"/>
  </si>
  <si>
    <t>붕괴침강및사태로인한 재산손해(실손보상)</t>
  </si>
  <si>
    <t>건물복구비용지원(화 재)</t>
  </si>
  <si>
    <t>스프링클러누출손해 (실손보상)</t>
  </si>
  <si>
    <t>건물</t>
    <phoneticPr fontId="2" type="noConversion"/>
  </si>
  <si>
    <t>가재</t>
    <phoneticPr fontId="2" type="noConversion"/>
  </si>
  <si>
    <t>도구</t>
    <phoneticPr fontId="2" type="noConversion"/>
  </si>
  <si>
    <t>도난손해(주택비명기)</t>
  </si>
  <si>
    <t>붕괴침강및사태로인한 재산손해(실손보상</t>
  </si>
  <si>
    <t>재물</t>
    <phoneticPr fontId="2" type="noConversion"/>
  </si>
  <si>
    <t>기타</t>
    <phoneticPr fontId="2" type="noConversion"/>
  </si>
  <si>
    <t>화재배상책임</t>
  </si>
  <si>
    <t>사고당 무한</t>
    <phoneticPr fontId="2" type="noConversion"/>
  </si>
  <si>
    <t>대물 20억원</t>
    <phoneticPr fontId="2" type="noConversion"/>
  </si>
  <si>
    <t>대인 1,5억원</t>
    <phoneticPr fontId="2" type="noConversion"/>
  </si>
  <si>
    <t>주택임시거주비(1-90일, 화재/침강/사태/붕괴/급배수누출)</t>
    <phoneticPr fontId="2" type="noConversion"/>
  </si>
  <si>
    <t>일25만원</t>
    <phoneticPr fontId="2" type="noConversion"/>
  </si>
  <si>
    <t>층간소음피해보장</t>
  </si>
  <si>
    <t>급배수시설누출손해 (자기부담금10%)(주 택)</t>
  </si>
  <si>
    <t>사람</t>
    <phoneticPr fontId="2" type="noConversion"/>
  </si>
  <si>
    <t>(가족)과실치사상벌금비용</t>
  </si>
  <si>
    <t>화재 사망/상해후유장해(3~100%)</t>
    <phoneticPr fontId="2" type="noConversion"/>
  </si>
  <si>
    <t>강력범죄피해/22대가전제품&amp;8대문화상품 수리</t>
    <phoneticPr fontId="2" type="noConversion"/>
  </si>
  <si>
    <t>가족화재벌금 / 업무상 과실중과실치사상 벌금비용</t>
    <phoneticPr fontId="2" type="noConversion"/>
  </si>
  <si>
    <r>
      <rPr>
        <b/>
        <sz val="11"/>
        <color rgb="FF0000FF"/>
        <rFont val="맑은 고딕"/>
        <family val="3"/>
        <charset val="129"/>
      </rPr>
      <t xml:space="preserve">※ </t>
    </r>
    <r>
      <rPr>
        <b/>
        <sz val="11"/>
        <color rgb="FF0000FF"/>
        <rFont val="맑은 고딕"/>
        <family val="3"/>
        <charset val="129"/>
        <scheme val="minor"/>
      </rPr>
      <t>5년마다 갱신필요 : 2031년7월 갱신시는 표준형으로 변경</t>
    </r>
    <phoneticPr fontId="2" type="noConversion"/>
  </si>
  <si>
    <t xml:space="preserve">    - 붕괴/침강/사태시 건물 3억/가재도구 1억 보상, 8대 문화용품수리 100만원 제외가능</t>
    <phoneticPr fontId="2" type="noConversion"/>
  </si>
  <si>
    <t>유류비 20만 / 담배&amp;커피 30만 / 유산균 년140만 / 고교회비 3만 / 백세회비 2만</t>
    <phoneticPr fontId="2" type="noConversion"/>
  </si>
  <si>
    <t>유류비 15만 / 커피 15만 / 금연 / 유산균 년140만 / 회비 5만(고교2/백세3)</t>
    <phoneticPr fontId="2" type="noConversion"/>
  </si>
  <si>
    <t>커피 15만 / 금연 / 유산균 년140만 / 회비 5만(고교2/백세3)</t>
    <phoneticPr fontId="2" type="noConversion"/>
  </si>
  <si>
    <t>7/9 소화기 구입</t>
    <phoneticPr fontId="2" type="noConversion"/>
  </si>
  <si>
    <t>7/26 샤시 락킹기어</t>
    <phoneticPr fontId="2" type="noConversion"/>
  </si>
  <si>
    <t>7/29 드릴비트세트</t>
    <phoneticPr fontId="2" type="noConversion"/>
  </si>
  <si>
    <t>7/30 방음보드(싱크)</t>
    <phoneticPr fontId="2" type="noConversion"/>
  </si>
  <si>
    <t>동행복권 입금</t>
    <phoneticPr fontId="2" type="noConversion"/>
  </si>
  <si>
    <t>7/24 LED매립등</t>
    <phoneticPr fontId="2" type="noConversion"/>
  </si>
  <si>
    <t>7/14 렌지후드 교체</t>
    <phoneticPr fontId="2" type="noConversion"/>
  </si>
  <si>
    <t>7/15 렌지소화기 교체</t>
    <phoneticPr fontId="2" type="noConversion"/>
  </si>
  <si>
    <t>이음카드 사용</t>
    <phoneticPr fontId="2" type="noConversion"/>
  </si>
  <si>
    <t>총사용금액</t>
    <phoneticPr fontId="2" type="noConversion"/>
  </si>
  <si>
    <t>부가 수입</t>
    <phoneticPr fontId="2" type="noConversion"/>
  </si>
  <si>
    <t>경희 부가세 환급</t>
    <phoneticPr fontId="2" type="noConversion"/>
  </si>
  <si>
    <t>갑철 사용금액</t>
    <phoneticPr fontId="2" type="noConversion"/>
  </si>
  <si>
    <t>다이소-스위치/배수관등</t>
    <phoneticPr fontId="2" type="noConversion"/>
  </si>
  <si>
    <t>이음카드 캐시백</t>
    <phoneticPr fontId="2" type="noConversion"/>
  </si>
  <si>
    <t>캐시백 사용</t>
    <phoneticPr fontId="2" type="noConversion"/>
  </si>
  <si>
    <t>전월 상품이월</t>
    <phoneticPr fontId="2" type="noConversion"/>
  </si>
  <si>
    <t>담배/생필품</t>
    <phoneticPr fontId="2" type="noConversion"/>
  </si>
  <si>
    <t>경희 사용금액</t>
    <phoneticPr fontId="2" type="noConversion"/>
  </si>
  <si>
    <t>경희마사지/생필품</t>
    <phoneticPr fontId="2" type="noConversion"/>
  </si>
  <si>
    <t>부가수입</t>
    <phoneticPr fontId="2" type="noConversion"/>
  </si>
  <si>
    <t>전체 사용금액</t>
    <phoneticPr fontId="2" type="noConversion"/>
  </si>
  <si>
    <t>26년 7월</t>
    <phoneticPr fontId="2" type="noConversion"/>
  </si>
  <si>
    <t>26년 4월</t>
  </si>
  <si>
    <t>26년 5월</t>
  </si>
  <si>
    <t>26년 6월</t>
  </si>
  <si>
    <t>&lt;&lt;누계&gt;&gt;</t>
    <phoneticPr fontId="2" type="noConversion"/>
  </si>
  <si>
    <t>26년 8월</t>
    <phoneticPr fontId="2" type="noConversion"/>
  </si>
  <si>
    <t>보선/지수 용돈</t>
    <phoneticPr fontId="2" type="noConversion"/>
  </si>
  <si>
    <t>이음카드(생활/마사지)</t>
    <phoneticPr fontId="2" type="noConversion"/>
  </si>
  <si>
    <t>갑철 담배/생필품</t>
    <phoneticPr fontId="2" type="noConversion"/>
  </si>
  <si>
    <t>편의점 절감금액</t>
    <phoneticPr fontId="2" type="noConversion"/>
  </si>
  <si>
    <t>2025.04-26.03</t>
    <phoneticPr fontId="2" type="noConversion"/>
  </si>
  <si>
    <t>2026.04-27.03</t>
    <phoneticPr fontId="2" type="noConversion"/>
  </si>
  <si>
    <t>평균</t>
    <phoneticPr fontId="2" type="noConversion"/>
  </si>
  <si>
    <t>사용가능 금액</t>
    <phoneticPr fontId="2" type="noConversion"/>
  </si>
  <si>
    <t>26년7월 기준 잉여금</t>
    <phoneticPr fontId="2" type="noConversion"/>
  </si>
  <si>
    <t>통신비외</t>
    <phoneticPr fontId="2" type="noConversion"/>
  </si>
  <si>
    <t>계산 가정</t>
    <phoneticPr fontId="2" type="noConversion"/>
  </si>
  <si>
    <t>갑철/BTV/경희/제네시스, 26/4월 Btv 약정 축소 -38,000원, 기초연금 통신비감면 24,000원은 기초연금에 포함</t>
    <phoneticPr fontId="2" type="noConversion"/>
  </si>
  <si>
    <r>
      <t>보선/서연 주소이전후 에너지바우처 신청완료</t>
    </r>
    <r>
      <rPr>
        <sz val="10"/>
        <rFont val="맑은 고딕"/>
        <family val="3"/>
        <charset val="129"/>
        <scheme val="minor"/>
      </rPr>
      <t xml:space="preserve"> / 25.4-26.3월 평균 : </t>
    </r>
    <r>
      <rPr>
        <b/>
        <sz val="10"/>
        <rFont val="맑은 고딕"/>
        <family val="3"/>
        <charset val="129"/>
        <scheme val="minor"/>
      </rPr>
      <t>600,600원</t>
    </r>
    <r>
      <rPr>
        <sz val="10"/>
        <rFont val="맑은 고딕"/>
        <family val="3"/>
        <charset val="129"/>
        <scheme val="minor"/>
      </rPr>
      <t xml:space="preserve"> (26.6월부터 비데2</t>
    </r>
    <r>
      <rPr>
        <sz val="10"/>
        <color rgb="FF0000FF"/>
        <rFont val="맑은 고딕"/>
        <family val="3"/>
        <charset val="129"/>
        <scheme val="minor"/>
      </rPr>
      <t xml:space="preserve"> +17,280)</t>
    </r>
    <phoneticPr fontId="2" type="noConversion"/>
  </si>
  <si>
    <t>익월 이월금액(선구입)</t>
  </si>
  <si>
    <t>경희 주유</t>
    <phoneticPr fontId="2" type="noConversion"/>
  </si>
  <si>
    <t>편의점/무할인</t>
    <phoneticPr fontId="2" type="noConversion"/>
  </si>
  <si>
    <t>편의점/2+1</t>
    <phoneticPr fontId="2" type="noConversion"/>
  </si>
  <si>
    <t>대량구입/72캔구입</t>
    <phoneticPr fontId="2" type="noConversion"/>
  </si>
  <si>
    <t>월 72캔 마실경우 (일2.4캔)</t>
    <phoneticPr fontId="2" type="noConversion"/>
  </si>
  <si>
    <t>캔거피 대량구입 : TOP 200ml 72캔 - 50,400원(배송비포함)</t>
    <phoneticPr fontId="2" type="noConversion"/>
  </si>
  <si>
    <t>여행비 사용현황 : 월20만원 계산</t>
    <phoneticPr fontId="2" type="noConversion"/>
  </si>
  <si>
    <t>사용금액</t>
    <phoneticPr fontId="2" type="noConversion"/>
  </si>
  <si>
    <t>경조사비 사용현황 : 월30만원 계산</t>
    <phoneticPr fontId="2" type="noConversion"/>
  </si>
  <si>
    <t>여행비 잉여금액</t>
    <phoneticPr fontId="2" type="noConversion"/>
  </si>
  <si>
    <r>
      <t>100만초과</t>
    </r>
    <r>
      <rPr>
        <b/>
        <sz val="8"/>
        <color theme="1"/>
        <rFont val="맑은 고딕"/>
        <family val="3"/>
        <charset val="129"/>
        <scheme val="minor"/>
      </rPr>
      <t xml:space="preserve"> 갑철기본+사용가능</t>
    </r>
    <phoneticPr fontId="2" type="noConversion"/>
  </si>
  <si>
    <t>100만시트 기준</t>
    <phoneticPr fontId="2" type="noConversion"/>
  </si>
  <si>
    <t>카드/현금/상품권</t>
    <phoneticPr fontId="2" type="noConversion"/>
  </si>
  <si>
    <t>기초연급수급자 비과세저축 5천만한도 가능</t>
    <phoneticPr fontId="2" type="noConversion"/>
  </si>
  <si>
    <t>추가 절감 - 8월</t>
    <phoneticPr fontId="2" type="noConversion"/>
  </si>
  <si>
    <t>(사용실적 반영)</t>
    <phoneticPr fontId="2" type="noConversion"/>
  </si>
  <si>
    <t>(4-8월/5개월)</t>
    <phoneticPr fontId="2" type="noConversion"/>
  </si>
  <si>
    <t>병원(환급85%)/기타</t>
    <phoneticPr fontId="2" type="noConversion"/>
  </si>
  <si>
    <t>사용가능금/기본포함</t>
    <phoneticPr fontId="2" type="noConversion"/>
  </si>
  <si>
    <t>생활비 사용현황 : 월100만 시트 계산</t>
    <phoneticPr fontId="2" type="noConversion"/>
  </si>
  <si>
    <t>증여 : 서연 4,000만, 지수애기 5,000만</t>
    <phoneticPr fontId="2" type="noConversion"/>
  </si>
  <si>
    <t>서연 4,000만 &amp; 지수애기 5,000만 증여, 5,000만원은 기초연금수급자 무세금저축</t>
    <phoneticPr fontId="2" type="noConversion"/>
  </si>
  <si>
    <t>손주증여(기진행)</t>
    <phoneticPr fontId="2" type="noConversion"/>
  </si>
  <si>
    <t>상가매도후 증여진행</t>
    <phoneticPr fontId="2" type="noConversion"/>
  </si>
  <si>
    <t>정리비용 제외후 보선/지수 공동상속(각50%)</t>
    <phoneticPr fontId="2" type="noConversion"/>
  </si>
  <si>
    <r>
      <t xml:space="preserve">손주상속/지수보상 : 보선 40% / 지수 60% &gt;&gt;&gt; </t>
    </r>
    <r>
      <rPr>
        <b/>
        <sz val="10"/>
        <color rgb="FFC00000"/>
        <rFont val="맑은 고딕"/>
        <family val="3"/>
        <charset val="129"/>
        <scheme val="minor"/>
      </rPr>
      <t>기초연금 수급을 위해 지속적인 현금증여로 진행필요</t>
    </r>
    <phoneticPr fontId="2" type="noConversion"/>
  </si>
  <si>
    <t>기초연금 총자산 / 제도변화 지속파악</t>
    <phoneticPr fontId="2" type="noConversion"/>
  </si>
  <si>
    <t xml:space="preserve"> : 수급을 위해 현금자산 지속증여 필요</t>
    <phoneticPr fontId="2" type="noConversion"/>
  </si>
  <si>
    <t>대출인정액 : 연금수령액 or 보증잔액 ??</t>
    <phoneticPr fontId="2" type="noConversion"/>
  </si>
  <si>
    <t>1) 동일가격의 아파트로 이사 : 연급변동없음</t>
    <phoneticPr fontId="2" type="noConversion"/>
  </si>
  <si>
    <t>2) 비싼집으로 이사 : 추가구입자금 부담 / 연금증가 &gt;&gt;&gt; 불필요</t>
    <phoneticPr fontId="2" type="noConversion"/>
  </si>
  <si>
    <t>3) 싼집으로 이사</t>
    <phoneticPr fontId="2" type="noConversion"/>
  </si>
  <si>
    <t xml:space="preserve">   3-1) 차액 &lt; 보증잔액 : 차액으로 보증잔액 상환 &amp; 연금 동일</t>
    <phoneticPr fontId="2" type="noConversion"/>
  </si>
  <si>
    <t xml:space="preserve">   3-2) 차액 &gt; 보증잔액 : 보증잔액 전액상환 &amp; 연금 감소(싼집기준으로)</t>
    <phoneticPr fontId="2" type="noConversion"/>
  </si>
  <si>
    <t>재건축/재개발시, 이사시</t>
    <phoneticPr fontId="2" type="noConversion"/>
  </si>
  <si>
    <t xml:space="preserve">   1-2) 토지분 보상금 효과는 추가로 검토가 필요함</t>
    <phoneticPr fontId="2" type="noConversion"/>
  </si>
  <si>
    <t>1) 재개발 참여불필요 : 재개발 확정으로 가격 상승시, 동일가격 아파트로 이사가 최선</t>
    <phoneticPr fontId="2" type="noConversion"/>
  </si>
  <si>
    <t xml:space="preserve">   1-1) 분담금 부담/주택가상승으로 연금이 인상되어도, 남은 기간이 짧아 실효성 없음</t>
    <phoneticPr fontId="2" type="noConversion"/>
  </si>
  <si>
    <t xml:space="preserve">          - 분담금 부담 / 건축기간중 월세 거주 필요, 기간중 계약소멸이 될수도 있음</t>
    <phoneticPr fontId="2" type="noConversion"/>
  </si>
  <si>
    <t>아파트 가격 큰폭 상승시 : 동일가격의 좋은 집으로 이사 검토</t>
    <phoneticPr fontId="2" type="noConversion"/>
  </si>
  <si>
    <t xml:space="preserve">   1-1) 매도당시의 기존 주택가격과 신규주택 가격으로 비교 </t>
    <phoneticPr fontId="2" type="noConversion"/>
  </si>
  <si>
    <t xml:space="preserve">         - 많이 상승하면, 타지역의 좋은 집으로 이사 검토필요 : 환경/텃밭등</t>
    <phoneticPr fontId="2" type="noConversion"/>
  </si>
  <si>
    <t xml:space="preserve">   1-2) 보선 분가하면, 조금 싸고 작은집으로 이사도 고려필요</t>
    <phoneticPr fontId="2" type="noConversion"/>
  </si>
  <si>
    <t>주택이동시 기준가격 vs 실가격 차이에 의한  이익발생 가능성 검토필요</t>
    <phoneticPr fontId="2" type="noConversion"/>
  </si>
  <si>
    <t>1) 공사 주택가격 기준 : 1층제외 최저/최고가의 중간값</t>
    <phoneticPr fontId="2" type="noConversion"/>
  </si>
  <si>
    <t>2) 기존주택 매도 : 28층이므로 공사기준가 보다 높은 가격에 매도가능</t>
    <phoneticPr fontId="2" type="noConversion"/>
  </si>
  <si>
    <t>3) 신규주택 매입 : 3층을 매입하면, 공사기준가보다 낮은가격에 매입가능</t>
    <phoneticPr fontId="2" type="noConversion"/>
  </si>
  <si>
    <t>예) 20년후 재개발시 : 보증잔액 8.4억원</t>
    <phoneticPr fontId="2" type="noConversion"/>
  </si>
  <si>
    <t># 하절기에는 편의점 할인판매 없음</t>
    <phoneticPr fontId="2" type="noConversion"/>
  </si>
  <si>
    <t>관리비/코웨이 사용현황 : 월65만원 계산</t>
    <phoneticPr fontId="2" type="noConversion"/>
  </si>
  <si>
    <t>관리비 잉여금액</t>
    <phoneticPr fontId="2" type="noConversion"/>
  </si>
  <si>
    <t>차량수리비 사용현황 : 월10만원 계산</t>
    <phoneticPr fontId="2" type="noConversion"/>
  </si>
  <si>
    <t>차량수리비 잉여금액</t>
    <phoneticPr fontId="2" type="noConversion"/>
  </si>
  <si>
    <t>조카들 결혼 각200만원 예상 : 필요시 보험대출로 선진행 필요</t>
    <phoneticPr fontId="2" type="noConversion"/>
  </si>
  <si>
    <t xml:space="preserve">         - 담보가치 차액은 전액 공사에 반납하고, 연금은 동일 : 관리비 절감, 청소 용이등…</t>
    <phoneticPr fontId="2" type="noConversion"/>
  </si>
  <si>
    <t>보선/지수집에서 거주하면 월세가능 : 주택연금(사용) + 월세수입 (보선/지수에게 주기) &gt;&gt; 공사 승인과정 필요</t>
    <phoneticPr fontId="2" type="noConversion"/>
  </si>
  <si>
    <t># 보선/지수와 같이살면, 주택연금+월세 가능 (공사승인필요)</t>
    <phoneticPr fontId="2" type="noConversion"/>
  </si>
  <si>
    <t xml:space="preserve">   : 연금주택 월세를 같이사는 보선/지수에게 제공하면, 아이들 생활에 도움될 것임</t>
    <phoneticPr fontId="2" type="noConversion"/>
  </si>
  <si>
    <t>월150만원 x 30년, 보선/지수와 동거하면 연금주택 월세를 줄수있음</t>
    <phoneticPr fontId="2" type="noConversion"/>
  </si>
  <si>
    <t>주택월세(20년 거주)</t>
    <phoneticPr fontId="2" type="noConversion"/>
  </si>
  <si>
    <t>보선월세수입(부평)</t>
    <phoneticPr fontId="2" type="noConversion"/>
  </si>
  <si>
    <t>15년후 보선집에서 거주하는 경우</t>
    <phoneticPr fontId="2" type="noConversion"/>
  </si>
  <si>
    <t>보선월세수입(하늘채)</t>
    <phoneticPr fontId="2" type="noConversion"/>
  </si>
  <si>
    <t>30년동안 보선과 계속 거주하는 경우</t>
    <phoneticPr fontId="2" type="noConversion"/>
  </si>
  <si>
    <t>주택월세(30년 거주)</t>
    <phoneticPr fontId="2" type="noConversion"/>
  </si>
  <si>
    <t>월세를 계속 받거나, 매도후 사업/타주택 투자 가능</t>
    <phoneticPr fontId="2" type="noConversion"/>
  </si>
  <si>
    <r>
      <rPr>
        <b/>
        <sz val="9"/>
        <color rgb="FFC00000"/>
        <rFont val="맑은 고딕"/>
        <family val="3"/>
        <charset val="129"/>
      </rPr>
      <t xml:space="preserve">※ </t>
    </r>
    <r>
      <rPr>
        <b/>
        <sz val="9"/>
        <color rgb="FFC00000"/>
        <rFont val="맑은 고딕"/>
        <family val="3"/>
        <charset val="129"/>
        <scheme val="minor"/>
      </rPr>
      <t>금리 년2.0% 계산/고금리 발굴필요</t>
    </r>
    <phoneticPr fontId="2" type="noConversion"/>
  </si>
  <si>
    <t>종료시 : 상속승계 &amp; 승인으로 매도/매입후 이사 (최장 3년까지 연장가능)</t>
    <phoneticPr fontId="2" type="noConversion"/>
  </si>
  <si>
    <t>1) 채무가 없고, 현금과 보험금이 있으므로, 상속승계가 유리</t>
    <phoneticPr fontId="2" type="noConversion"/>
  </si>
  <si>
    <t>2) 공사와 협의하여, 상속인이 매도하여 차액을 상환하는 조건으로  3년기한을 승인받음</t>
    <phoneticPr fontId="2" type="noConversion"/>
  </si>
  <si>
    <t>3) 최대한 높게 매도하여 공사 담보가치 평가금액만 상환하고, 차액은 수익</t>
    <phoneticPr fontId="2" type="noConversion"/>
  </si>
  <si>
    <t xml:space="preserve">   : 평가액보다 보증잔액이 적으면, 차액을 환급받음</t>
    <phoneticPr fontId="2" type="noConversion"/>
  </si>
  <si>
    <t xml:space="preserve">   : 평가액보다 큰 보증잔액에 대한 상환의무는 없슴 (공사가 부담함)</t>
    <phoneticPr fontId="2" type="noConversion"/>
  </si>
  <si>
    <t xml:space="preserve">    : (기존주택 매도가 - 공사평가액) + (공사평가액 - 신규주택 매입가)</t>
    <phoneticPr fontId="2" type="noConversion"/>
  </si>
  <si>
    <t xml:space="preserve">      층별 매도/매입가격 차이를 이용하여, 실익을 취할 수 있슴</t>
    <phoneticPr fontId="2" type="noConversion"/>
  </si>
  <si>
    <t xml:space="preserve">         - 저층으로 이사하여, 실거래가 차이 &gt; 담보가치 차이로 잉여발생 가능</t>
    <phoneticPr fontId="2" type="noConversion"/>
  </si>
  <si>
    <t>갑철 통신비 별도 : 54,000원 계좌자동이체</t>
    <phoneticPr fontId="2" type="noConversion"/>
  </si>
  <si>
    <t>26년 9월</t>
    <phoneticPr fontId="2" type="noConversion"/>
  </si>
  <si>
    <t>고교모임(월회비별도)</t>
    <phoneticPr fontId="2" type="noConversion"/>
  </si>
  <si>
    <t>26년 10월</t>
    <phoneticPr fontId="2" type="noConversion"/>
  </si>
  <si>
    <t>익월로 이월금액</t>
    <phoneticPr fontId="2" type="noConversion"/>
  </si>
  <si>
    <t>&lt;기초연금 소득인정액(26/7/3일 월세30만 추가후)  352만원 - 27년 기준중위소득(419만원) 90%(377만원)에도 해당됨</t>
    <phoneticPr fontId="2" type="noConversion"/>
  </si>
  <si>
    <t>6년 8월 개정안 관련 뉴스</t>
    <phoneticPr fontId="2" type="noConversion"/>
  </si>
  <si>
    <t>2026년 기준 중위소득</t>
    <phoneticPr fontId="2" type="noConversion"/>
  </si>
  <si>
    <t>2026년 노인소득하위 70%</t>
    <phoneticPr fontId="2" type="noConversion"/>
  </si>
  <si>
    <t>27년부터 기준 중위소득의 90%로 감소</t>
    <phoneticPr fontId="2" type="noConversion"/>
  </si>
  <si>
    <t>2028년 (86.6%)</t>
    <phoneticPr fontId="2" type="noConversion"/>
  </si>
  <si>
    <t>2029년 (83.3%)</t>
    <phoneticPr fontId="2" type="noConversion"/>
  </si>
  <si>
    <t>2030년 (80.0%)</t>
    <phoneticPr fontId="2" type="noConversion"/>
  </si>
  <si>
    <t>2027년 (90.0%)</t>
    <phoneticPr fontId="2" type="noConversion"/>
  </si>
  <si>
    <t>해당</t>
  </si>
  <si>
    <t>해당</t>
    <phoneticPr fontId="2" type="noConversion"/>
  </si>
  <si>
    <t>수급중</t>
    <phoneticPr fontId="2" type="noConversion"/>
  </si>
  <si>
    <t>26년 7월 기준 소득인정액</t>
    <phoneticPr fontId="2" type="noConversion"/>
  </si>
  <si>
    <t xml:space="preserve"> (상가월세 30만원 추가후)</t>
    <phoneticPr fontId="2" type="noConversion"/>
  </si>
  <si>
    <t>미해당</t>
    <phoneticPr fontId="2" type="noConversion"/>
  </si>
  <si>
    <t>&lt;주택연금 누적수령액&gt;</t>
    <phoneticPr fontId="2" type="noConversion"/>
  </si>
  <si>
    <t>2026년 (소득하위70%)</t>
    <phoneticPr fontId="2" type="noConversion"/>
  </si>
  <si>
    <t>3월기준/대출로 계산</t>
    <phoneticPr fontId="2" type="noConversion"/>
  </si>
  <si>
    <t>소득감소</t>
    <phoneticPr fontId="2" type="noConversion"/>
  </si>
  <si>
    <t>예상인정액</t>
    <phoneticPr fontId="2" type="noConversion"/>
  </si>
  <si>
    <t>부족금액</t>
    <phoneticPr fontId="2" type="noConversion"/>
  </si>
  <si>
    <t>주택연금 고려후</t>
    <phoneticPr fontId="2" type="noConversion"/>
  </si>
  <si>
    <t>해당여부</t>
    <phoneticPr fontId="2" type="noConversion"/>
  </si>
  <si>
    <t># 주택연금 수령(대출)으로 계속 해당이 예상됨</t>
    <phoneticPr fontId="2" type="noConversion"/>
  </si>
  <si>
    <t>- 아파트/상가의 공시가격 변동은 변수</t>
    <phoneticPr fontId="2" type="noConversion"/>
  </si>
  <si>
    <t>- 지수원금 4천만원 상환 (이자포함)</t>
    <phoneticPr fontId="2" type="noConversion"/>
  </si>
  <si>
    <t>- 손녀 5천만원까지 상속 (서연 4천만원 추가, 지수애기는 5천만원 증여가능)</t>
    <phoneticPr fontId="2" type="noConversion"/>
  </si>
  <si>
    <t>- 딸들 생활비 현금보조로 금융자산 감소/조정 필요 : 조기상속으로 진행</t>
    <phoneticPr fontId="2" type="noConversion"/>
  </si>
  <si>
    <t>- 부부가구 감액 폐지는 ??? / 폐지되면 수급액 증가</t>
    <phoneticPr fontId="2" type="noConversion"/>
  </si>
  <si>
    <t>기초연금 제도변경에 따른 수급예상</t>
    <phoneticPr fontId="2" type="noConversion"/>
  </si>
  <si>
    <t># 상가 매도후에는 현금자산을 감소시켜야 함 (기본공제후 이자4%를 소득으로 인정)</t>
    <phoneticPr fontId="2" type="noConversion"/>
  </si>
  <si>
    <t>: 지수애기 안되면, 차량 사주기 (증여가 안되는 방법은?)</t>
    <phoneticPr fontId="2" type="noConversion"/>
  </si>
  <si>
    <t>사망 상속예상</t>
    <phoneticPr fontId="2" type="noConversion"/>
  </si>
  <si>
    <r>
      <t>보험환급액/</t>
    </r>
    <r>
      <rPr>
        <b/>
        <sz val="10"/>
        <color theme="1"/>
        <rFont val="맑은 고딕"/>
        <family val="3"/>
        <charset val="129"/>
        <scheme val="minor"/>
      </rPr>
      <t>사망보험금</t>
    </r>
    <phoneticPr fontId="2" type="noConversion"/>
  </si>
  <si>
    <t>집수리 / 어머님병원</t>
    <phoneticPr fontId="2" type="noConversion"/>
  </si>
  <si>
    <t>쇼핑 / 예상금액</t>
    <phoneticPr fontId="2" type="noConversion"/>
  </si>
  <si>
    <r>
      <t>※</t>
    </r>
    <r>
      <rPr>
        <b/>
        <sz val="12.1"/>
        <color rgb="FFC00000"/>
        <rFont val="맑은 고딕"/>
        <family val="3"/>
        <charset val="129"/>
      </rPr>
      <t xml:space="preserve"> 9/1일 신규발표 : 노인소득하위70% 유지, 45-70%는 27년 부부감액 20% 유지(28년부터는???)</t>
    </r>
    <phoneticPr fontId="2" type="noConversion"/>
  </si>
  <si>
    <t>기타 (조의금)</t>
    <phoneticPr fontId="2" type="noConversion"/>
  </si>
  <si>
    <t>복리이자분 선지원</t>
    <phoneticPr fontId="2" type="noConversion"/>
  </si>
  <si>
    <t>주택가와 연동필요(7억으로 고려)</t>
    <phoneticPr fontId="2" type="noConversion"/>
  </si>
  <si>
    <r>
      <t>기초연금자산</t>
    </r>
    <r>
      <rPr>
        <b/>
        <sz val="8"/>
        <color rgb="FFC00000"/>
        <rFont val="맑은 고딕"/>
        <family val="3"/>
        <charset val="129"/>
        <scheme val="minor"/>
      </rPr>
      <t>(주택연금대출: 누적지급금)</t>
    </r>
    <phoneticPr fontId="2" type="noConversion"/>
  </si>
  <si>
    <r>
      <t>기초연금자산/</t>
    </r>
    <r>
      <rPr>
        <b/>
        <sz val="9"/>
        <color rgb="FFC00000"/>
        <rFont val="맑은 고딕"/>
        <family val="3"/>
        <charset val="129"/>
        <scheme val="minor"/>
      </rPr>
      <t>소득-30만</t>
    </r>
    <phoneticPr fontId="2" type="noConversion"/>
  </si>
  <si>
    <t>기초연금자산 관리필요 : 선지원 / 사용</t>
    <phoneticPr fontId="2" type="noConversion"/>
  </si>
  <si>
    <t>보선 저리(2%) 대출 검토 - 성속세 무관방안</t>
    <phoneticPr fontId="2" type="noConversion"/>
  </si>
  <si>
    <t>경조사비 차이금액</t>
    <phoneticPr fontId="2" type="noConversion"/>
  </si>
  <si>
    <t>&lt;기초연금 소득인정액(26/7/3일 월세30만포함)  352만원 - 26년기준 395만 &amp; 27년 기준중위소득(419만) 90%(377만)에도 해당됨</t>
    <phoneticPr fontId="2" type="noConversion"/>
  </si>
  <si>
    <r>
      <t xml:space="preserve">경조사비 월30만원, 재산세 년60만원 &amp; 상가 36만원 &amp; 종소세 10만 &amp; 수수료 25만 /// </t>
    </r>
    <r>
      <rPr>
        <b/>
        <sz val="10"/>
        <color rgb="FF0000FF"/>
        <rFont val="맑은 고딕"/>
        <family val="3"/>
        <charset val="129"/>
        <scheme val="minor"/>
      </rPr>
      <t>조카6명 결혼 1,200만원 필요(추가소요 예상)</t>
    </r>
    <phoneticPr fontId="2" type="noConversion"/>
  </si>
  <si>
    <t>경조사비 20만원, 재산세 년60만원</t>
    <phoneticPr fontId="2" type="noConversion"/>
  </si>
  <si>
    <t>유류비 24만 / 담배&amp;커피 21만 / 유산균 년140만 / 고교회비 3만 / 백세회비 2만</t>
    <phoneticPr fontId="2" type="noConversion"/>
  </si>
  <si>
    <t>유류비 24만 / 커피 7만 / 금연 / 유산균 년140만 / 회비 5만(고교2/백세3)</t>
    <phoneticPr fontId="2" type="noConversion"/>
  </si>
  <si>
    <t>유류비 0 / 커피 7만 / 금연 / 유산균 년140만 / 회비 5만(고교2/백세3)</t>
    <phoneticPr fontId="2" type="noConversion"/>
  </si>
  <si>
    <r>
      <rPr>
        <b/>
        <sz val="10"/>
        <color rgb="FFC00000"/>
        <rFont val="맑은 고딕"/>
        <family val="3"/>
        <charset val="129"/>
      </rPr>
      <t>※</t>
    </r>
    <r>
      <rPr>
        <b/>
        <sz val="11"/>
        <color rgb="FFC00000"/>
        <rFont val="맑은 고딕"/>
        <family val="3"/>
        <charset val="129"/>
      </rPr>
      <t xml:space="preserve"> </t>
    </r>
    <r>
      <rPr>
        <b/>
        <sz val="10"/>
        <color rgb="FFC00000"/>
        <rFont val="맑은 고딕"/>
        <family val="3"/>
        <charset val="129"/>
        <scheme val="minor"/>
      </rPr>
      <t>62평 저층으로 이사(평가액은 동일)로 실매도가 - 실매입가 차이의 현금확보/연금유지 방법도 가능함… 현금으로 인테리어 진행</t>
    </r>
    <phoneticPr fontId="2" type="noConversion"/>
  </si>
  <si>
    <r>
      <rPr>
        <b/>
        <sz val="10"/>
        <color rgb="FFC00000"/>
        <rFont val="맑은 고딕"/>
        <family val="3"/>
        <charset val="129"/>
      </rPr>
      <t>※</t>
    </r>
    <r>
      <rPr>
        <b/>
        <sz val="11"/>
        <color rgb="FFC00000"/>
        <rFont val="맑은 고딕"/>
        <family val="3"/>
        <charset val="129"/>
      </rPr>
      <t xml:space="preserve"> </t>
    </r>
    <r>
      <rPr>
        <b/>
        <sz val="10"/>
        <color rgb="FFC00000"/>
        <rFont val="맑은 고딕"/>
        <family val="3"/>
        <charset val="129"/>
        <scheme val="minor"/>
      </rPr>
      <t>작은집으로 이사/담보주택변경 : (매도가-매입가)-(평가액차이/상환필요)의 현금확보/연금액유지/관리비용감소가 방법이 최선책으로 판단됨 (특히 재개발로 시세가 많이 오르면 더 유리함 / 재개발기간동안 임시거주 부담도 앖음)</t>
    </r>
    <phoneticPr fontId="2" type="noConversion"/>
  </si>
  <si>
    <t>보험 배당/실손</t>
    <phoneticPr fontId="2" type="noConversion"/>
  </si>
  <si>
    <t>26년 11월</t>
    <phoneticPr fontId="2" type="noConversion"/>
  </si>
  <si>
    <t>기본사용/기말예상</t>
    <phoneticPr fontId="2" type="noConversion"/>
  </si>
  <si>
    <t>월말에 계산</t>
    <phoneticPr fontId="2" type="noConversion"/>
  </si>
  <si>
    <t>(4-9월/6개월)</t>
    <phoneticPr fontId="2" type="noConversion"/>
  </si>
  <si>
    <t>9월말 현금확인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</si>
</sst>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76" formatCode="#,##0_ "/>
    <numFmt numFmtId="177" formatCode="yy&quot;/&quot;m&quot;/&quot;d;@"/>
    <numFmt numFmtId="178" formatCode="0.0%"/>
    <numFmt numFmtId="179" formatCode="#,##0&quot;원&quot;"/>
    <numFmt numFmtId="180" formatCode="#,##0.00_ "/>
    <numFmt numFmtId="181" formatCode="#,##0.0_ "/>
    <numFmt numFmtId="182" formatCode="#,##0&quot;(?)&quot;"/>
    <numFmt numFmtId="183" formatCode="#,##0&quot;만원&quot;"/>
    <numFmt numFmtId="184" formatCode="yyyy/mm"/>
    <numFmt numFmtId="185" formatCode="#,##0&quot;/일&quot;"/>
    <numFmt numFmtId="186" formatCode="[Red]#,##0;[Blue]\-#,##0"/>
    <numFmt numFmtId="187" formatCode="#,##0_ ;[Red]\-#,##0\ "/>
    <numFmt numFmtId="188" formatCode="#,##0;[Blue]\-#,##0"/>
    <numFmt numFmtId="189" formatCode="&quot;이율 : &quot;0%"/>
    <numFmt numFmtId="190" formatCode="m&quot;/&quot;d;@"/>
    <numFmt numFmtId="191" formatCode="#,##0&quot; (4-10월평균)&quot;"/>
  </numFmts>
  <fonts count="7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C0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0"/>
      <color rgb="FF0000FF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color rgb="FF0000FF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0539BB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0539BB"/>
      <name val="맑은 고딕"/>
      <family val="3"/>
      <charset val="129"/>
      <scheme val="minor"/>
    </font>
    <font>
      <sz val="11"/>
      <color rgb="FF0539BB"/>
      <name val="맑은 고딕"/>
      <family val="2"/>
      <charset val="129"/>
      <scheme val="minor"/>
    </font>
    <font>
      <sz val="11"/>
      <color rgb="FF0539BB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11"/>
      <color theme="2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u/>
      <sz val="9"/>
      <color indexed="81"/>
      <name val="Tahoma"/>
      <family val="2"/>
    </font>
    <font>
      <b/>
      <u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u/>
      <sz val="9"/>
      <color indexed="81"/>
      <name val="돋움"/>
      <family val="3"/>
      <charset val="129"/>
    </font>
    <font>
      <u/>
      <sz val="9"/>
      <color indexed="81"/>
      <name val="Tahoma"/>
      <family val="2"/>
    </font>
    <font>
      <sz val="10"/>
      <color rgb="FF0539BB"/>
      <name val="맑은 고딕"/>
      <family val="2"/>
      <charset val="129"/>
      <scheme val="minor"/>
    </font>
    <font>
      <b/>
      <sz val="11"/>
      <color rgb="FF0539BB"/>
      <name val="Noto Sans KR"/>
      <family val="3"/>
      <charset val="129"/>
    </font>
    <font>
      <b/>
      <sz val="10"/>
      <color rgb="FF0539BB"/>
      <name val="Noto Sans KR"/>
      <family val="3"/>
      <charset val="129"/>
    </font>
    <font>
      <b/>
      <sz val="11"/>
      <color rgb="FF0000FF"/>
      <name val="맑은 고딕"/>
      <family val="3"/>
      <charset val="129"/>
    </font>
    <font>
      <sz val="11"/>
      <color theme="0" tint="-0.499984740745262"/>
      <name val="맑은 고딕"/>
      <family val="2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b/>
      <sz val="11"/>
      <color theme="0" tint="-0.499984740745262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0000FF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0"/>
      <color theme="3"/>
      <name val="맑은 고딕"/>
      <family val="3"/>
      <charset val="129"/>
      <scheme val="minor"/>
    </font>
    <font>
      <b/>
      <sz val="9"/>
      <color theme="0" tint="-0.499984740745262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C00000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3333FF"/>
      <name val="맑은 고딕"/>
      <family val="2"/>
      <charset val="129"/>
      <scheme val="minor"/>
    </font>
    <font>
      <sz val="11"/>
      <color theme="5" tint="-0.499984740745262"/>
      <name val="맑은 고딕"/>
      <family val="2"/>
      <charset val="129"/>
      <scheme val="minor"/>
    </font>
    <font>
      <sz val="11"/>
      <color theme="5" tint="-0.499984740745262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</font>
    <font>
      <b/>
      <sz val="12.1"/>
      <color rgb="FFC00000"/>
      <name val="맑은 고딕"/>
      <family val="3"/>
      <charset val="129"/>
    </font>
    <font>
      <b/>
      <sz val="11"/>
      <color theme="5" tint="-0.249977111117893"/>
      <name val="맑은 고딕"/>
      <family val="3"/>
      <charset val="129"/>
      <scheme val="minor"/>
    </font>
    <font>
      <b/>
      <sz val="8"/>
      <color rgb="FFC0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BFF7F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medium">
        <color rgb="FF0539BB"/>
      </left>
      <right/>
      <top style="medium">
        <color rgb="FF0539BB"/>
      </top>
      <bottom style="medium">
        <color rgb="FF0539BB"/>
      </bottom>
      <diagonal/>
    </border>
    <border>
      <left/>
      <right style="medium">
        <color rgb="FF0539BB"/>
      </right>
      <top style="medium">
        <color rgb="FF0539BB"/>
      </top>
      <bottom style="medium">
        <color rgb="FF0539BB"/>
      </bottom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/>
      <right/>
      <top style="thick">
        <color rgb="FF0000FF"/>
      </top>
      <bottom style="thick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/>
      <diagonal/>
    </border>
    <border>
      <left/>
      <right/>
      <top/>
      <bottom style="medium">
        <color rgb="FF0000FF"/>
      </bottom>
      <diagonal/>
    </border>
    <border>
      <left style="medium">
        <color rgb="FFFF0000"/>
      </left>
      <right/>
      <top/>
      <bottom style="medium">
        <color rgb="FF0000FF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79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3" fillId="0" borderId="0" xfId="0" applyNumberFormat="1" applyFont="1">
      <alignment vertical="center"/>
    </xf>
    <xf numFmtId="176" fontId="5" fillId="3" borderId="1" xfId="0" applyNumberFormat="1" applyFont="1" applyFill="1" applyBorder="1" applyAlignment="1">
      <alignment horizontal="center" vertical="center"/>
    </xf>
    <xf numFmtId="176" fontId="5" fillId="4" borderId="2" xfId="0" applyNumberFormat="1" applyFont="1" applyFill="1" applyBorder="1" applyAlignment="1">
      <alignment horizontal="center" vertical="center"/>
    </xf>
    <xf numFmtId="176" fontId="5" fillId="5" borderId="3" xfId="0" applyNumberFormat="1" applyFont="1" applyFill="1" applyBorder="1" applyAlignment="1">
      <alignment horizontal="center" vertical="center"/>
    </xf>
    <xf numFmtId="176" fontId="5" fillId="3" borderId="4" xfId="0" applyNumberFormat="1" applyFont="1" applyFill="1" applyBorder="1">
      <alignment vertical="center"/>
    </xf>
    <xf numFmtId="176" fontId="5" fillId="4" borderId="5" xfId="0" applyNumberFormat="1" applyFont="1" applyFill="1" applyBorder="1">
      <alignment vertical="center"/>
    </xf>
    <xf numFmtId="176" fontId="5" fillId="5" borderId="6" xfId="0" applyNumberFormat="1" applyFont="1" applyFill="1" applyBorder="1">
      <alignment vertical="center"/>
    </xf>
    <xf numFmtId="176" fontId="4" fillId="2" borderId="0" xfId="0" applyNumberFormat="1" applyFont="1" applyFill="1" applyAlignment="1">
      <alignment horizontal="center" vertical="center"/>
    </xf>
    <xf numFmtId="176" fontId="5" fillId="3" borderId="8" xfId="0" applyNumberFormat="1" applyFont="1" applyFill="1" applyBorder="1" applyAlignment="1">
      <alignment horizontal="center" vertical="center"/>
    </xf>
    <xf numFmtId="176" fontId="5" fillId="4" borderId="8" xfId="0" applyNumberFormat="1" applyFont="1" applyFill="1" applyBorder="1" applyAlignment="1">
      <alignment horizontal="center" vertical="center"/>
    </xf>
    <xf numFmtId="176" fontId="5" fillId="5" borderId="8" xfId="0" applyNumberFormat="1" applyFont="1" applyFill="1" applyBorder="1" applyAlignment="1">
      <alignment horizontal="center" vertical="center"/>
    </xf>
    <xf numFmtId="176" fontId="5" fillId="0" borderId="0" xfId="0" applyNumberFormat="1" applyFont="1">
      <alignment vertical="center"/>
    </xf>
    <xf numFmtId="176" fontId="5" fillId="3" borderId="8" xfId="0" applyNumberFormat="1" applyFont="1" applyFill="1" applyBorder="1">
      <alignment vertical="center"/>
    </xf>
    <xf numFmtId="176" fontId="5" fillId="4" borderId="8" xfId="0" applyNumberFormat="1" applyFont="1" applyFill="1" applyBorder="1">
      <alignment vertical="center"/>
    </xf>
    <xf numFmtId="176" fontId="5" fillId="5" borderId="8" xfId="0" applyNumberFormat="1" applyFont="1" applyFill="1" applyBorder="1">
      <alignment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176" fontId="6" fillId="5" borderId="8" xfId="0" applyNumberFormat="1" applyFont="1" applyFill="1" applyBorder="1">
      <alignment vertical="center"/>
    </xf>
    <xf numFmtId="176" fontId="7" fillId="0" borderId="0" xfId="0" applyNumberFormat="1" applyFont="1">
      <alignment vertical="center"/>
    </xf>
    <xf numFmtId="176" fontId="8" fillId="0" borderId="0" xfId="0" applyNumberFormat="1" applyFont="1">
      <alignment vertical="center"/>
    </xf>
    <xf numFmtId="176" fontId="5" fillId="6" borderId="11" xfId="0" applyNumberFormat="1" applyFont="1" applyFill="1" applyBorder="1" applyAlignment="1">
      <alignment horizontal="center" vertical="center"/>
    </xf>
    <xf numFmtId="176" fontId="5" fillId="3" borderId="11" xfId="0" applyNumberFormat="1" applyFont="1" applyFill="1" applyBorder="1" applyAlignment="1">
      <alignment horizontal="center" vertical="center"/>
    </xf>
    <xf numFmtId="176" fontId="0" fillId="0" borderId="13" xfId="0" applyNumberFormat="1" applyBorder="1">
      <alignment vertical="center"/>
    </xf>
    <xf numFmtId="176" fontId="0" fillId="0" borderId="14" xfId="0" applyNumberFormat="1" applyBorder="1">
      <alignment vertical="center"/>
    </xf>
    <xf numFmtId="176" fontId="5" fillId="6" borderId="8" xfId="0" applyNumberFormat="1" applyFont="1" applyFill="1" applyBorder="1">
      <alignment vertical="center"/>
    </xf>
    <xf numFmtId="176" fontId="5" fillId="3" borderId="11" xfId="0" applyNumberFormat="1" applyFont="1" applyFill="1" applyBorder="1">
      <alignment vertical="center"/>
    </xf>
    <xf numFmtId="176" fontId="5" fillId="5" borderId="12" xfId="0" applyNumberFormat="1" applyFont="1" applyFill="1" applyBorder="1">
      <alignment vertical="center"/>
    </xf>
    <xf numFmtId="9" fontId="5" fillId="5" borderId="11" xfId="2" applyFont="1" applyFill="1" applyBorder="1">
      <alignment vertical="center"/>
    </xf>
    <xf numFmtId="10" fontId="5" fillId="5" borderId="11" xfId="2" applyNumberFormat="1" applyFont="1" applyFill="1" applyBorder="1" applyAlignment="1">
      <alignment horizontal="center" vertical="center"/>
    </xf>
    <xf numFmtId="176" fontId="0" fillId="0" borderId="7" xfId="0" applyNumberFormat="1" applyBorder="1">
      <alignment vertical="center"/>
    </xf>
    <xf numFmtId="176" fontId="0" fillId="0" borderId="10" xfId="0" applyNumberFormat="1" applyBorder="1">
      <alignment vertical="center"/>
    </xf>
    <xf numFmtId="41" fontId="0" fillId="0" borderId="15" xfId="1" applyFont="1" applyBorder="1" applyAlignment="1">
      <alignment horizontal="center" vertical="center"/>
    </xf>
    <xf numFmtId="41" fontId="0" fillId="0" borderId="7" xfId="1" applyFont="1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9" fontId="0" fillId="0" borderId="7" xfId="2" applyFont="1" applyBorder="1">
      <alignment vertical="center"/>
    </xf>
    <xf numFmtId="10" fontId="0" fillId="0" borderId="7" xfId="2" applyNumberFormat="1" applyFont="1" applyBorder="1" applyAlignment="1">
      <alignment horizontal="center" vertical="center"/>
    </xf>
    <xf numFmtId="176" fontId="0" fillId="0" borderId="0" xfId="0" quotePrefix="1" applyNumberFormat="1">
      <alignment vertical="center"/>
    </xf>
    <xf numFmtId="41" fontId="0" fillId="0" borderId="16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176" fontId="0" fillId="0" borderId="16" xfId="0" applyNumberFormat="1" applyBorder="1">
      <alignment vertical="center"/>
    </xf>
    <xf numFmtId="9" fontId="5" fillId="6" borderId="11" xfId="2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176" fontId="7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176" fontId="10" fillId="0" borderId="0" xfId="0" applyNumberFormat="1" applyFont="1">
      <alignment vertical="center"/>
    </xf>
    <xf numFmtId="176" fontId="9" fillId="0" borderId="0" xfId="0" applyNumberFormat="1" applyFont="1" applyAlignment="1">
      <alignment horizontal="right"/>
    </xf>
    <xf numFmtId="176" fontId="5" fillId="4" borderId="11" xfId="0" applyNumberFormat="1" applyFont="1" applyFill="1" applyBorder="1" applyAlignment="1">
      <alignment horizontal="center" vertical="center"/>
    </xf>
    <xf numFmtId="176" fontId="11" fillId="0" borderId="0" xfId="0" applyNumberFormat="1" applyFont="1">
      <alignment vertical="center"/>
    </xf>
    <xf numFmtId="176" fontId="12" fillId="0" borderId="0" xfId="0" applyNumberFormat="1" applyFont="1" applyAlignment="1">
      <alignment horizontal="right" vertical="center"/>
    </xf>
    <xf numFmtId="176" fontId="12" fillId="0" borderId="0" xfId="0" quotePrefix="1" applyNumberFormat="1" applyFont="1" applyAlignment="1">
      <alignment horizontal="right" vertical="center"/>
    </xf>
    <xf numFmtId="176" fontId="11" fillId="0" borderId="0" xfId="0" quotePrefix="1" applyNumberFormat="1" applyFont="1" applyAlignment="1">
      <alignment horizontal="left" vertical="center"/>
    </xf>
    <xf numFmtId="176" fontId="0" fillId="8" borderId="0" xfId="0" applyNumberFormat="1" applyFill="1">
      <alignment vertical="center"/>
    </xf>
    <xf numFmtId="176" fontId="5" fillId="0" borderId="0" xfId="0" applyNumberFormat="1" applyFont="1" applyAlignment="1">
      <alignment horizontal="right" vertical="center"/>
    </xf>
    <xf numFmtId="176" fontId="4" fillId="9" borderId="0" xfId="0" applyNumberFormat="1" applyFont="1" applyFill="1">
      <alignment vertical="center"/>
    </xf>
    <xf numFmtId="176" fontId="4" fillId="0" borderId="0" xfId="0" applyNumberFormat="1" applyFont="1" applyAlignment="1">
      <alignment horizontal="right" vertical="center"/>
    </xf>
    <xf numFmtId="176" fontId="13" fillId="0" borderId="0" xfId="0" applyNumberFormat="1" applyFont="1" applyAlignment="1">
      <alignment horizontal="right" vertical="center"/>
    </xf>
    <xf numFmtId="176" fontId="14" fillId="0" borderId="0" xfId="0" applyNumberFormat="1" applyFont="1">
      <alignment vertical="center"/>
    </xf>
    <xf numFmtId="176" fontId="4" fillId="5" borderId="0" xfId="0" applyNumberFormat="1" applyFont="1" applyFill="1" applyAlignment="1">
      <alignment horizontal="right" vertical="center"/>
    </xf>
    <xf numFmtId="176" fontId="6" fillId="6" borderId="18" xfId="0" applyNumberFormat="1" applyFont="1" applyFill="1" applyBorder="1" applyAlignment="1">
      <alignment horizontal="right" vertical="center"/>
    </xf>
    <xf numFmtId="176" fontId="6" fillId="6" borderId="19" xfId="0" applyNumberFormat="1" applyFont="1" applyFill="1" applyBorder="1">
      <alignment vertical="center"/>
    </xf>
    <xf numFmtId="176" fontId="6" fillId="5" borderId="20" xfId="0" applyNumberFormat="1" applyFont="1" applyFill="1" applyBorder="1" applyAlignment="1">
      <alignment horizontal="right" vertical="center"/>
    </xf>
    <xf numFmtId="176" fontId="6" fillId="5" borderId="21" xfId="0" applyNumberFormat="1" applyFont="1" applyFill="1" applyBorder="1">
      <alignment vertical="center"/>
    </xf>
    <xf numFmtId="176" fontId="10" fillId="9" borderId="0" xfId="0" applyNumberFormat="1" applyFont="1" applyFill="1" applyAlignment="1">
      <alignment horizontal="right" vertical="center"/>
    </xf>
    <xf numFmtId="176" fontId="4" fillId="11" borderId="0" xfId="0" applyNumberFormat="1" applyFont="1" applyFill="1" applyAlignment="1">
      <alignment horizontal="right" vertical="center"/>
    </xf>
    <xf numFmtId="176" fontId="4" fillId="11" borderId="0" xfId="0" applyNumberFormat="1" applyFont="1" applyFill="1">
      <alignment vertical="center"/>
    </xf>
    <xf numFmtId="176" fontId="0" fillId="5" borderId="0" xfId="0" applyNumberFormat="1" applyFill="1">
      <alignment vertical="center"/>
    </xf>
    <xf numFmtId="176" fontId="9" fillId="0" borderId="0" xfId="0" applyNumberFormat="1" applyFont="1">
      <alignment vertical="center"/>
    </xf>
    <xf numFmtId="176" fontId="4" fillId="4" borderId="0" xfId="0" applyNumberFormat="1" applyFont="1" applyFill="1">
      <alignment vertical="center"/>
    </xf>
    <xf numFmtId="176" fontId="6" fillId="8" borderId="0" xfId="0" applyNumberFormat="1" applyFont="1" applyFill="1" applyAlignment="1">
      <alignment horizontal="right" vertical="center"/>
    </xf>
    <xf numFmtId="176" fontId="6" fillId="5" borderId="0" xfId="0" applyNumberFormat="1" applyFont="1" applyFill="1" applyAlignment="1">
      <alignment horizontal="right" vertical="center"/>
    </xf>
    <xf numFmtId="176" fontId="4" fillId="3" borderId="22" xfId="0" applyNumberFormat="1" applyFont="1" applyFill="1" applyBorder="1">
      <alignment vertical="center"/>
    </xf>
    <xf numFmtId="176" fontId="15" fillId="8" borderId="0" xfId="0" applyNumberFormat="1" applyFont="1" applyFill="1" applyAlignment="1">
      <alignment horizontal="right" vertical="center"/>
    </xf>
    <xf numFmtId="176" fontId="16" fillId="8" borderId="0" xfId="0" applyNumberFormat="1" applyFont="1" applyFill="1">
      <alignment vertical="center"/>
    </xf>
    <xf numFmtId="176" fontId="4" fillId="3" borderId="0" xfId="0" applyNumberFormat="1" applyFont="1" applyFill="1">
      <alignment vertical="center"/>
    </xf>
    <xf numFmtId="176" fontId="15" fillId="0" borderId="0" xfId="0" applyNumberFormat="1" applyFont="1" applyAlignment="1">
      <alignment horizontal="right" vertical="center"/>
    </xf>
    <xf numFmtId="176" fontId="16" fillId="0" borderId="0" xfId="0" applyNumberFormat="1" applyFont="1">
      <alignment vertical="center"/>
    </xf>
    <xf numFmtId="176" fontId="17" fillId="0" borderId="0" xfId="0" applyNumberFormat="1" applyFont="1">
      <alignment vertical="center"/>
    </xf>
    <xf numFmtId="176" fontId="6" fillId="5" borderId="18" xfId="0" applyNumberFormat="1" applyFont="1" applyFill="1" applyBorder="1" applyAlignment="1">
      <alignment horizontal="right" vertical="center"/>
    </xf>
    <xf numFmtId="176" fontId="6" fillId="5" borderId="19" xfId="0" applyNumberFormat="1" applyFont="1" applyFill="1" applyBorder="1">
      <alignment vertical="center"/>
    </xf>
    <xf numFmtId="176" fontId="15" fillId="5" borderId="0" xfId="0" applyNumberFormat="1" applyFont="1" applyFill="1">
      <alignment vertical="center"/>
    </xf>
    <xf numFmtId="176" fontId="10" fillId="7" borderId="0" xfId="0" applyNumberFormat="1" applyFont="1" applyFill="1">
      <alignment vertical="center"/>
    </xf>
    <xf numFmtId="176" fontId="0" fillId="7" borderId="0" xfId="0" applyNumberFormat="1" applyFill="1">
      <alignment vertical="center"/>
    </xf>
    <xf numFmtId="176" fontId="18" fillId="0" borderId="0" xfId="0" applyNumberFormat="1" applyFont="1">
      <alignment vertical="center"/>
    </xf>
    <xf numFmtId="176" fontId="6" fillId="4" borderId="8" xfId="0" applyNumberFormat="1" applyFont="1" applyFill="1" applyBorder="1">
      <alignment vertical="center"/>
    </xf>
    <xf numFmtId="176" fontId="13" fillId="8" borderId="0" xfId="0" applyNumberFormat="1" applyFont="1" applyFill="1">
      <alignment vertical="center"/>
    </xf>
    <xf numFmtId="176" fontId="11" fillId="0" borderId="0" xfId="0" quotePrefix="1" applyNumberFormat="1" applyFont="1">
      <alignment vertical="center"/>
    </xf>
    <xf numFmtId="176" fontId="0" fillId="12" borderId="0" xfId="0" applyNumberFormat="1" applyFill="1">
      <alignment vertical="center"/>
    </xf>
    <xf numFmtId="176" fontId="5" fillId="4" borderId="15" xfId="0" applyNumberFormat="1" applyFont="1" applyFill="1" applyBorder="1" applyAlignment="1">
      <alignment horizontal="center" vertical="center"/>
    </xf>
    <xf numFmtId="176" fontId="3" fillId="4" borderId="8" xfId="0" applyNumberFormat="1" applyFont="1" applyFill="1" applyBorder="1" applyAlignment="1">
      <alignment horizontal="center" vertical="center"/>
    </xf>
    <xf numFmtId="176" fontId="5" fillId="4" borderId="23" xfId="0" applyNumberFormat="1" applyFont="1" applyFill="1" applyBorder="1" applyAlignment="1">
      <alignment horizontal="center" vertical="center"/>
    </xf>
    <xf numFmtId="176" fontId="6" fillId="3" borderId="8" xfId="0" applyNumberFormat="1" applyFont="1" applyFill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4" fillId="9" borderId="8" xfId="0" applyNumberFormat="1" applyFont="1" applyFill="1" applyBorder="1" applyAlignment="1">
      <alignment horizontal="center" vertical="center"/>
    </xf>
    <xf numFmtId="176" fontId="5" fillId="9" borderId="8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17" fillId="0" borderId="0" xfId="0" applyNumberFormat="1" applyFont="1" applyAlignment="1">
      <alignment horizontal="right" vertical="top"/>
    </xf>
    <xf numFmtId="178" fontId="9" fillId="0" borderId="0" xfId="2" applyNumberFormat="1" applyFont="1" applyAlignment="1">
      <alignment horizontal="center" vertical="center"/>
    </xf>
    <xf numFmtId="176" fontId="14" fillId="5" borderId="0" xfId="0" applyNumberFormat="1" applyFont="1" applyFill="1">
      <alignment vertical="center"/>
    </xf>
    <xf numFmtId="176" fontId="19" fillId="0" borderId="0" xfId="0" applyNumberFormat="1" applyFont="1">
      <alignment vertical="center"/>
    </xf>
    <xf numFmtId="176" fontId="14" fillId="10" borderId="0" xfId="0" applyNumberFormat="1" applyFont="1" applyFill="1">
      <alignment vertical="center"/>
    </xf>
    <xf numFmtId="176" fontId="4" fillId="3" borderId="25" xfId="0" applyNumberFormat="1" applyFont="1" applyFill="1" applyBorder="1" applyAlignment="1">
      <alignment horizontal="left" vertical="center"/>
    </xf>
    <xf numFmtId="176" fontId="4" fillId="3" borderId="26" xfId="0" applyNumberFormat="1" applyFont="1" applyFill="1" applyBorder="1" applyAlignment="1">
      <alignment horizontal="center" vertical="center"/>
    </xf>
    <xf numFmtId="176" fontId="14" fillId="0" borderId="0" xfId="0" applyNumberFormat="1" applyFont="1" applyAlignment="1">
      <alignment horizontal="right" vertical="center"/>
    </xf>
    <xf numFmtId="176" fontId="14" fillId="0" borderId="0" xfId="0" applyNumberFormat="1" applyFont="1" applyAlignment="1">
      <alignment horizontal="center" vertical="center"/>
    </xf>
    <xf numFmtId="176" fontId="21" fillId="0" borderId="0" xfId="0" applyNumberFormat="1" applyFont="1" applyAlignment="1">
      <alignment horizontal="right" vertical="center"/>
    </xf>
    <xf numFmtId="176" fontId="0" fillId="0" borderId="8" xfId="0" applyNumberFormat="1" applyBorder="1" applyAlignment="1">
      <alignment horizontal="center" vertical="center"/>
    </xf>
    <xf numFmtId="176" fontId="14" fillId="5" borderId="0" xfId="0" applyNumberFormat="1" applyFont="1" applyFill="1" applyAlignment="1">
      <alignment horizontal="right" vertical="center"/>
    </xf>
    <xf numFmtId="177" fontId="4" fillId="7" borderId="0" xfId="0" applyNumberFormat="1" applyFont="1" applyFill="1" applyAlignment="1">
      <alignment horizontal="right" vertical="center"/>
    </xf>
    <xf numFmtId="176" fontId="6" fillId="5" borderId="13" xfId="0" applyNumberFormat="1" applyFont="1" applyFill="1" applyBorder="1" applyAlignment="1">
      <alignment horizontal="right" vertical="center"/>
    </xf>
    <xf numFmtId="176" fontId="25" fillId="0" borderId="0" xfId="0" applyNumberFormat="1" applyFont="1" applyAlignment="1">
      <alignment horizontal="left" vertical="center"/>
    </xf>
    <xf numFmtId="176" fontId="27" fillId="0" borderId="0" xfId="0" applyNumberFormat="1" applyFont="1">
      <alignment vertical="center"/>
    </xf>
    <xf numFmtId="176" fontId="20" fillId="0" borderId="0" xfId="0" applyNumberFormat="1" applyFont="1">
      <alignment vertical="center"/>
    </xf>
    <xf numFmtId="176" fontId="14" fillId="10" borderId="0" xfId="0" applyNumberFormat="1" applyFont="1" applyFill="1" applyAlignment="1">
      <alignment horizontal="right" vertical="center"/>
    </xf>
    <xf numFmtId="176" fontId="28" fillId="5" borderId="0" xfId="0" applyNumberFormat="1" applyFont="1" applyFill="1" applyAlignment="1">
      <alignment horizontal="right" vertical="center"/>
    </xf>
    <xf numFmtId="176" fontId="28" fillId="5" borderId="0" xfId="0" applyNumberFormat="1" applyFont="1" applyFill="1">
      <alignment vertical="center"/>
    </xf>
    <xf numFmtId="176" fontId="14" fillId="8" borderId="0" xfId="0" applyNumberFormat="1" applyFont="1" applyFill="1" applyAlignment="1">
      <alignment horizontal="right" vertical="center"/>
    </xf>
    <xf numFmtId="176" fontId="14" fillId="3" borderId="0" xfId="0" applyNumberFormat="1" applyFont="1" applyFill="1">
      <alignment vertical="center"/>
    </xf>
    <xf numFmtId="176" fontId="0" fillId="0" borderId="0" xfId="0" applyNumberFormat="1" applyProtection="1">
      <alignment vertical="center"/>
      <protection hidden="1"/>
    </xf>
    <xf numFmtId="176" fontId="10" fillId="2" borderId="0" xfId="0" applyNumberFormat="1" applyFont="1" applyFill="1">
      <alignment vertical="center"/>
    </xf>
    <xf numFmtId="176" fontId="0" fillId="2" borderId="0" xfId="0" applyNumberFormat="1" applyFill="1">
      <alignment vertical="center"/>
    </xf>
    <xf numFmtId="176" fontId="29" fillId="12" borderId="0" xfId="0" applyNumberFormat="1" applyFont="1" applyFill="1">
      <alignment vertical="center"/>
    </xf>
    <xf numFmtId="176" fontId="6" fillId="8" borderId="8" xfId="0" applyNumberFormat="1" applyFont="1" applyFill="1" applyBorder="1">
      <alignment vertical="center"/>
    </xf>
    <xf numFmtId="176" fontId="10" fillId="4" borderId="0" xfId="0" applyNumberFormat="1" applyFont="1" applyFill="1" applyAlignment="1">
      <alignment horizontal="right" vertical="center"/>
    </xf>
    <xf numFmtId="176" fontId="10" fillId="4" borderId="0" xfId="0" applyNumberFormat="1" applyFont="1" applyFill="1">
      <alignment vertical="center"/>
    </xf>
    <xf numFmtId="176" fontId="14" fillId="3" borderId="0" xfId="0" applyNumberFormat="1" applyFont="1" applyFill="1" applyAlignment="1">
      <alignment horizontal="right" vertical="center"/>
    </xf>
    <xf numFmtId="176" fontId="6" fillId="7" borderId="8" xfId="0" applyNumberFormat="1" applyFont="1" applyFill="1" applyBorder="1">
      <alignment vertical="center"/>
    </xf>
    <xf numFmtId="176" fontId="30" fillId="0" borderId="0" xfId="0" applyNumberFormat="1" applyFont="1">
      <alignment vertical="center"/>
    </xf>
    <xf numFmtId="176" fontId="15" fillId="0" borderId="0" xfId="0" applyNumberFormat="1" applyFont="1">
      <alignment vertical="center"/>
    </xf>
    <xf numFmtId="176" fontId="6" fillId="0" borderId="0" xfId="0" applyNumberFormat="1" applyFont="1">
      <alignment vertical="center"/>
    </xf>
    <xf numFmtId="176" fontId="10" fillId="0" borderId="0" xfId="0" applyNumberFormat="1" applyFont="1" applyAlignment="1">
      <alignment horizontal="right" vertical="center"/>
    </xf>
    <xf numFmtId="176" fontId="0" fillId="5" borderId="0" xfId="0" applyNumberFormat="1" applyFill="1" applyAlignment="1">
      <alignment horizontal="right" vertical="center"/>
    </xf>
    <xf numFmtId="176" fontId="31" fillId="0" borderId="0" xfId="0" applyNumberFormat="1" applyFont="1">
      <alignment vertical="center"/>
    </xf>
    <xf numFmtId="176" fontId="16" fillId="5" borderId="0" xfId="0" applyNumberFormat="1" applyFont="1" applyFill="1" applyAlignment="1">
      <alignment horizontal="right" vertical="center"/>
    </xf>
    <xf numFmtId="176" fontId="6" fillId="0" borderId="0" xfId="0" applyNumberFormat="1" applyFont="1" applyAlignment="1">
      <alignment vertical="top"/>
    </xf>
    <xf numFmtId="176" fontId="6" fillId="6" borderId="8" xfId="0" applyNumberFormat="1" applyFont="1" applyFill="1" applyBorder="1">
      <alignment vertical="center"/>
    </xf>
    <xf numFmtId="176" fontId="7" fillId="0" borderId="0" xfId="0" applyNumberFormat="1" applyFont="1" applyAlignment="1">
      <alignment horizontal="left" vertical="center"/>
    </xf>
    <xf numFmtId="176" fontId="32" fillId="5" borderId="13" xfId="0" applyNumberFormat="1" applyFont="1" applyFill="1" applyBorder="1" applyAlignment="1">
      <alignment horizontal="right" vertical="center"/>
    </xf>
    <xf numFmtId="176" fontId="6" fillId="5" borderId="0" xfId="0" applyNumberFormat="1" applyFont="1" applyFill="1">
      <alignment vertical="center"/>
    </xf>
    <xf numFmtId="176" fontId="6" fillId="0" borderId="0" xfId="0" applyNumberFormat="1" applyFont="1" applyAlignment="1">
      <alignment horizontal="right" vertical="top"/>
    </xf>
    <xf numFmtId="176" fontId="4" fillId="3" borderId="19" xfId="0" applyNumberFormat="1" applyFont="1" applyFill="1" applyBorder="1">
      <alignment vertical="center"/>
    </xf>
    <xf numFmtId="176" fontId="9" fillId="0" borderId="0" xfId="0" quotePrefix="1" applyNumberFormat="1" applyFont="1">
      <alignment vertical="center"/>
    </xf>
    <xf numFmtId="176" fontId="4" fillId="9" borderId="18" xfId="0" applyNumberFormat="1" applyFont="1" applyFill="1" applyBorder="1" applyAlignment="1">
      <alignment horizontal="right" vertical="center"/>
    </xf>
    <xf numFmtId="176" fontId="4" fillId="9" borderId="19" xfId="0" applyNumberFormat="1" applyFont="1" applyFill="1" applyBorder="1">
      <alignment vertical="center"/>
    </xf>
    <xf numFmtId="176" fontId="10" fillId="8" borderId="0" xfId="0" applyNumberFormat="1" applyFont="1" applyFill="1" applyAlignment="1">
      <alignment horizontal="right" vertical="center"/>
    </xf>
    <xf numFmtId="176" fontId="14" fillId="6" borderId="27" xfId="0" applyNumberFormat="1" applyFont="1" applyFill="1" applyBorder="1" applyAlignment="1">
      <alignment horizontal="right" vertical="center"/>
    </xf>
    <xf numFmtId="176" fontId="4" fillId="6" borderId="28" xfId="0" applyNumberFormat="1" applyFont="1" applyFill="1" applyBorder="1">
      <alignment vertical="center"/>
    </xf>
    <xf numFmtId="176" fontId="4" fillId="0" borderId="30" xfId="0" applyNumberFormat="1" applyFont="1" applyBorder="1">
      <alignment vertical="center"/>
    </xf>
    <xf numFmtId="176" fontId="4" fillId="0" borderId="29" xfId="0" applyNumberFormat="1" applyFont="1" applyBorder="1" applyAlignment="1">
      <alignment horizontal="center" vertical="center"/>
    </xf>
    <xf numFmtId="176" fontId="4" fillId="3" borderId="18" xfId="0" applyNumberFormat="1" applyFont="1" applyFill="1" applyBorder="1" applyAlignment="1">
      <alignment horizontal="center" vertical="center"/>
    </xf>
    <xf numFmtId="176" fontId="10" fillId="9" borderId="20" xfId="0" applyNumberFormat="1" applyFont="1" applyFill="1" applyBorder="1" applyAlignment="1">
      <alignment horizontal="center" vertical="center"/>
    </xf>
    <xf numFmtId="176" fontId="10" fillId="9" borderId="21" xfId="0" applyNumberFormat="1" applyFont="1" applyFill="1" applyBorder="1">
      <alignment vertical="center"/>
    </xf>
    <xf numFmtId="176" fontId="0" fillId="8" borderId="0" xfId="0" applyNumberFormat="1" applyFill="1" applyAlignment="1">
      <alignment horizontal="right" vertical="center"/>
    </xf>
    <xf numFmtId="176" fontId="6" fillId="8" borderId="31" xfId="0" applyNumberFormat="1" applyFont="1" applyFill="1" applyBorder="1" applyAlignment="1">
      <alignment horizontal="right" vertical="center"/>
    </xf>
    <xf numFmtId="176" fontId="6" fillId="8" borderId="32" xfId="0" applyNumberFormat="1" applyFont="1" applyFill="1" applyBorder="1">
      <alignment vertical="center"/>
    </xf>
    <xf numFmtId="176" fontId="13" fillId="5" borderId="0" xfId="0" applyNumberFormat="1" applyFont="1" applyFill="1" applyAlignment="1">
      <alignment horizontal="right" vertical="center"/>
    </xf>
    <xf numFmtId="176" fontId="7" fillId="12" borderId="0" xfId="0" applyNumberFormat="1" applyFont="1" applyFill="1" applyAlignment="1">
      <alignment horizontal="right"/>
    </xf>
    <xf numFmtId="0" fontId="24" fillId="0" borderId="0" xfId="0" applyFont="1">
      <alignment vertical="center"/>
    </xf>
    <xf numFmtId="176" fontId="0" fillId="0" borderId="16" xfId="0" applyNumberFormat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76" fontId="0" fillId="3" borderId="8" xfId="0" applyNumberFormat="1" applyFill="1" applyBorder="1" applyAlignment="1">
      <alignment horizontal="center" vertical="center"/>
    </xf>
    <xf numFmtId="176" fontId="0" fillId="3" borderId="12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76" fontId="0" fillId="4" borderId="8" xfId="0" applyNumberFormat="1" applyFill="1" applyBorder="1" applyAlignment="1">
      <alignment horizontal="center" vertical="center"/>
    </xf>
    <xf numFmtId="176" fontId="0" fillId="4" borderId="12" xfId="0" applyNumberFormat="1" applyFill="1" applyBorder="1" applyAlignment="1">
      <alignment horizontal="center" vertical="center"/>
    </xf>
    <xf numFmtId="176" fontId="4" fillId="8" borderId="0" xfId="0" applyNumberFormat="1" applyFont="1" applyFill="1">
      <alignment vertical="center"/>
    </xf>
    <xf numFmtId="176" fontId="16" fillId="8" borderId="31" xfId="0" applyNumberFormat="1" applyFont="1" applyFill="1" applyBorder="1" applyAlignment="1">
      <alignment horizontal="right" vertical="center"/>
    </xf>
    <xf numFmtId="176" fontId="16" fillId="8" borderId="32" xfId="0" applyNumberFormat="1" applyFont="1" applyFill="1" applyBorder="1">
      <alignment vertical="center"/>
    </xf>
    <xf numFmtId="176" fontId="4" fillId="13" borderId="19" xfId="0" applyNumberFormat="1" applyFont="1" applyFill="1" applyBorder="1">
      <alignment vertical="center"/>
    </xf>
    <xf numFmtId="176" fontId="5" fillId="13" borderId="18" xfId="0" applyNumberFormat="1" applyFont="1" applyFill="1" applyBorder="1" applyAlignment="1">
      <alignment horizontal="right" vertical="center"/>
    </xf>
    <xf numFmtId="176" fontId="9" fillId="0" borderId="0" xfId="0" applyNumberFormat="1" applyFont="1" applyAlignment="1">
      <alignment horizontal="left" vertical="center"/>
    </xf>
    <xf numFmtId="0" fontId="0" fillId="0" borderId="8" xfId="0" applyBorder="1" applyAlignment="1">
      <alignment horizontal="center" vertical="center"/>
    </xf>
    <xf numFmtId="9" fontId="0" fillId="0" borderId="8" xfId="2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9" fontId="0" fillId="0" borderId="23" xfId="2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6" fontId="0" fillId="0" borderId="33" xfId="0" applyNumberFormat="1" applyBorder="1" applyAlignment="1">
      <alignment horizontal="center" vertical="center"/>
    </xf>
    <xf numFmtId="9" fontId="0" fillId="0" borderId="33" xfId="2" applyFont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right"/>
    </xf>
    <xf numFmtId="0" fontId="34" fillId="0" borderId="0" xfId="0" applyFont="1" applyAlignment="1">
      <alignment horizontal="left" vertical="center"/>
    </xf>
    <xf numFmtId="179" fontId="5" fillId="0" borderId="13" xfId="0" applyNumberFormat="1" applyFont="1" applyBorder="1">
      <alignment vertical="center"/>
    </xf>
    <xf numFmtId="0" fontId="10" fillId="0" borderId="0" xfId="0" applyFont="1" applyAlignment="1">
      <alignment horizontal="left"/>
    </xf>
    <xf numFmtId="179" fontId="5" fillId="0" borderId="13" xfId="0" applyNumberFormat="1" applyFont="1" applyBorder="1" applyAlignment="1"/>
    <xf numFmtId="0" fontId="13" fillId="0" borderId="0" xfId="0" applyFont="1" applyAlignment="1">
      <alignment horizontal="left" vertical="center" indent="1"/>
    </xf>
    <xf numFmtId="176" fontId="15" fillId="0" borderId="8" xfId="0" applyNumberFormat="1" applyFont="1" applyBorder="1" applyAlignment="1">
      <alignment horizontal="center" vertical="center"/>
    </xf>
    <xf numFmtId="176" fontId="15" fillId="0" borderId="33" xfId="0" applyNumberFormat="1" applyFont="1" applyBorder="1" applyAlignment="1">
      <alignment horizontal="center" vertical="center"/>
    </xf>
    <xf numFmtId="176" fontId="10" fillId="0" borderId="8" xfId="0" applyNumberFormat="1" applyFont="1" applyBorder="1" applyAlignment="1">
      <alignment horizontal="center" vertical="center"/>
    </xf>
    <xf numFmtId="176" fontId="10" fillId="0" borderId="3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76" fontId="4" fillId="9" borderId="23" xfId="0" applyNumberFormat="1" applyFont="1" applyFill="1" applyBorder="1" applyAlignment="1">
      <alignment horizontal="center" vertical="center"/>
    </xf>
    <xf numFmtId="176" fontId="4" fillId="5" borderId="23" xfId="0" applyNumberFormat="1" applyFont="1" applyFill="1" applyBorder="1" applyAlignment="1">
      <alignment horizontal="center" vertical="center"/>
    </xf>
    <xf numFmtId="176" fontId="4" fillId="5" borderId="8" xfId="0" applyNumberFormat="1" applyFont="1" applyFill="1" applyBorder="1" applyAlignment="1">
      <alignment horizontal="center" vertical="center"/>
    </xf>
    <xf numFmtId="176" fontId="4" fillId="5" borderId="33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76" fontId="3" fillId="9" borderId="0" xfId="0" applyNumberFormat="1" applyFont="1" applyFill="1" applyAlignment="1">
      <alignment horizontal="left" vertical="center" indent="1"/>
    </xf>
    <xf numFmtId="176" fontId="0" fillId="9" borderId="0" xfId="0" applyNumberFormat="1" applyFill="1" applyAlignment="1">
      <alignment horizontal="center" vertical="center"/>
    </xf>
    <xf numFmtId="176" fontId="35" fillId="9" borderId="0" xfId="0" applyNumberFormat="1" applyFont="1" applyFill="1" applyAlignment="1">
      <alignment horizontal="left" vertical="center" indent="1"/>
    </xf>
    <xf numFmtId="176" fontId="33" fillId="9" borderId="0" xfId="0" applyNumberFormat="1" applyFont="1" applyFill="1" applyAlignment="1">
      <alignment horizontal="left" vertical="center" indent="1"/>
    </xf>
    <xf numFmtId="176" fontId="26" fillId="9" borderId="0" xfId="0" applyNumberFormat="1" applyFont="1" applyFill="1" applyAlignment="1">
      <alignment horizontal="left" vertical="center" indent="1"/>
    </xf>
    <xf numFmtId="176" fontId="26" fillId="9" borderId="0" xfId="0" applyNumberFormat="1" applyFont="1" applyFill="1" applyAlignment="1">
      <alignment horizontal="left" vertical="center" indent="2"/>
    </xf>
    <xf numFmtId="176" fontId="10" fillId="0" borderId="37" xfId="0" applyNumberFormat="1" applyFont="1" applyBorder="1" applyAlignment="1">
      <alignment horizontal="center" vertical="center"/>
    </xf>
    <xf numFmtId="176" fontId="10" fillId="0" borderId="38" xfId="0" applyNumberFormat="1" applyFont="1" applyBorder="1">
      <alignment vertical="center"/>
    </xf>
    <xf numFmtId="176" fontId="4" fillId="9" borderId="24" xfId="0" applyNumberFormat="1" applyFont="1" applyFill="1" applyBorder="1">
      <alignment vertical="center"/>
    </xf>
    <xf numFmtId="176" fontId="37" fillId="3" borderId="39" xfId="0" applyNumberFormat="1" applyFont="1" applyFill="1" applyBorder="1" applyAlignment="1">
      <alignment horizontal="left" vertical="center"/>
    </xf>
    <xf numFmtId="176" fontId="37" fillId="3" borderId="39" xfId="0" applyNumberFormat="1" applyFont="1" applyFill="1" applyBorder="1" applyAlignment="1">
      <alignment horizontal="center" vertical="center"/>
    </xf>
    <xf numFmtId="176" fontId="37" fillId="0" borderId="0" xfId="0" applyNumberFormat="1" applyFont="1" applyAlignment="1">
      <alignment horizontal="right" vertical="center"/>
    </xf>
    <xf numFmtId="176" fontId="37" fillId="15" borderId="0" xfId="0" applyNumberFormat="1" applyFont="1" applyFill="1">
      <alignment vertical="center"/>
    </xf>
    <xf numFmtId="9" fontId="0" fillId="3" borderId="8" xfId="2" applyFont="1" applyFill="1" applyBorder="1" applyAlignment="1">
      <alignment horizontal="center" vertical="center"/>
    </xf>
    <xf numFmtId="176" fontId="7" fillId="5" borderId="13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176" fontId="5" fillId="4" borderId="0" xfId="0" applyNumberFormat="1" applyFont="1" applyFill="1" applyAlignment="1">
      <alignment horizontal="right" vertical="center"/>
    </xf>
    <xf numFmtId="0" fontId="9" fillId="0" borderId="0" xfId="0" applyFont="1" applyAlignment="1">
      <alignment horizontal="right" vertical="center"/>
    </xf>
    <xf numFmtId="176" fontId="7" fillId="3" borderId="25" xfId="0" applyNumberFormat="1" applyFont="1" applyFill="1" applyBorder="1">
      <alignment vertical="center"/>
    </xf>
    <xf numFmtId="176" fontId="9" fillId="3" borderId="39" xfId="0" applyNumberFormat="1" applyFont="1" applyFill="1" applyBorder="1">
      <alignment vertical="center"/>
    </xf>
    <xf numFmtId="176" fontId="0" fillId="3" borderId="26" xfId="0" applyNumberFormat="1" applyFill="1" applyBorder="1">
      <alignment vertical="center"/>
    </xf>
    <xf numFmtId="176" fontId="4" fillId="7" borderId="0" xfId="0" applyNumberFormat="1" applyFont="1" applyFill="1" applyAlignment="1">
      <alignment horizontal="right"/>
    </xf>
    <xf numFmtId="176" fontId="4" fillId="15" borderId="20" xfId="0" applyNumberFormat="1" applyFont="1" applyFill="1" applyBorder="1" applyAlignment="1">
      <alignment horizontal="center" vertical="center"/>
    </xf>
    <xf numFmtId="176" fontId="4" fillId="15" borderId="21" xfId="0" applyNumberFormat="1" applyFont="1" applyFill="1" applyBorder="1">
      <alignment vertical="center"/>
    </xf>
    <xf numFmtId="180" fontId="9" fillId="0" borderId="0" xfId="0" applyNumberFormat="1" applyFont="1">
      <alignment vertical="center"/>
    </xf>
    <xf numFmtId="176" fontId="18" fillId="0" borderId="0" xfId="0" quotePrefix="1" applyNumberFormat="1" applyFont="1">
      <alignment vertical="center"/>
    </xf>
    <xf numFmtId="176" fontId="28" fillId="0" borderId="0" xfId="0" applyNumberFormat="1" applyFont="1" applyAlignment="1">
      <alignment horizontal="right" vertical="center"/>
    </xf>
    <xf numFmtId="176" fontId="38" fillId="0" borderId="0" xfId="0" applyNumberFormat="1" applyFont="1" applyAlignment="1">
      <alignment horizontal="right" vertical="center"/>
    </xf>
    <xf numFmtId="176" fontId="38" fillId="0" borderId="0" xfId="0" applyNumberFormat="1" applyFont="1">
      <alignment vertical="center"/>
    </xf>
    <xf numFmtId="176" fontId="6" fillId="9" borderId="0" xfId="0" applyNumberFormat="1" applyFont="1" applyFill="1" applyAlignment="1">
      <alignment horizontal="right"/>
    </xf>
    <xf numFmtId="176" fontId="6" fillId="9" borderId="0" xfId="0" applyNumberFormat="1" applyFont="1" applyFill="1" applyAlignment="1"/>
    <xf numFmtId="176" fontId="9" fillId="11" borderId="0" xfId="0" applyNumberFormat="1" applyFont="1" applyFill="1">
      <alignment vertical="center"/>
    </xf>
    <xf numFmtId="176" fontId="0" fillId="11" borderId="0" xfId="0" applyNumberFormat="1" applyFill="1">
      <alignment vertical="center"/>
    </xf>
    <xf numFmtId="176" fontId="35" fillId="0" borderId="0" xfId="0" applyNumberFormat="1" applyFont="1">
      <alignment vertical="center"/>
    </xf>
    <xf numFmtId="176" fontId="10" fillId="3" borderId="0" xfId="0" applyNumberFormat="1" applyFont="1" applyFill="1" applyAlignment="1">
      <alignment horizontal="right"/>
    </xf>
    <xf numFmtId="41" fontId="0" fillId="0" borderId="0" xfId="1" applyFont="1">
      <alignment vertical="center"/>
    </xf>
    <xf numFmtId="176" fontId="0" fillId="0" borderId="0" xfId="0" applyNumberFormat="1" applyAlignment="1">
      <alignment horizontal="left" vertical="center" indent="1"/>
    </xf>
    <xf numFmtId="176" fontId="5" fillId="11" borderId="0" xfId="0" applyNumberFormat="1" applyFont="1" applyFill="1">
      <alignment vertical="center"/>
    </xf>
    <xf numFmtId="41" fontId="5" fillId="11" borderId="0" xfId="1" applyFont="1" applyFill="1">
      <alignment vertical="center"/>
    </xf>
    <xf numFmtId="176" fontId="5" fillId="4" borderId="0" xfId="0" applyNumberFormat="1" applyFont="1" applyFill="1" applyAlignment="1">
      <alignment horizontal="left" vertical="center"/>
    </xf>
    <xf numFmtId="41" fontId="5" fillId="4" borderId="0" xfId="1" applyFont="1" applyFill="1" applyAlignment="1">
      <alignment horizontal="center" vertical="center"/>
    </xf>
    <xf numFmtId="176" fontId="0" fillId="15" borderId="0" xfId="0" applyNumberFormat="1" applyFill="1" applyAlignment="1">
      <alignment horizontal="left" vertical="center" indent="1"/>
    </xf>
    <xf numFmtId="41" fontId="0" fillId="15" borderId="0" xfId="1" applyFont="1" applyFill="1">
      <alignment vertical="center"/>
    </xf>
    <xf numFmtId="0" fontId="0" fillId="5" borderId="8" xfId="0" applyFill="1" applyBorder="1" applyAlignment="1">
      <alignment horizontal="center" vertical="center"/>
    </xf>
    <xf numFmtId="176" fontId="0" fillId="5" borderId="8" xfId="0" applyNumberFormat="1" applyFill="1" applyBorder="1" applyAlignment="1">
      <alignment horizontal="center" vertical="center"/>
    </xf>
    <xf numFmtId="9" fontId="0" fillId="5" borderId="8" xfId="2" applyFont="1" applyFill="1" applyBorder="1" applyAlignment="1">
      <alignment horizontal="center" vertical="center"/>
    </xf>
    <xf numFmtId="176" fontId="15" fillId="5" borderId="8" xfId="0" applyNumberFormat="1" applyFont="1" applyFill="1" applyBorder="1" applyAlignment="1">
      <alignment horizontal="center" vertical="center"/>
    </xf>
    <xf numFmtId="176" fontId="0" fillId="3" borderId="0" xfId="0" applyNumberFormat="1" applyFill="1">
      <alignment vertical="center"/>
    </xf>
    <xf numFmtId="176" fontId="4" fillId="13" borderId="18" xfId="0" applyNumberFormat="1" applyFont="1" applyFill="1" applyBorder="1" applyAlignment="1">
      <alignment horizontal="right" vertical="center"/>
    </xf>
    <xf numFmtId="0" fontId="0" fillId="3" borderId="0" xfId="0" applyFill="1">
      <alignment vertical="center"/>
    </xf>
    <xf numFmtId="176" fontId="0" fillId="3" borderId="0" xfId="0" applyNumberFormat="1" applyFill="1" applyAlignment="1">
      <alignment horizontal="center" vertical="center"/>
    </xf>
    <xf numFmtId="176" fontId="6" fillId="9" borderId="0" xfId="0" applyNumberFormat="1" applyFont="1" applyFill="1">
      <alignment vertical="center"/>
    </xf>
    <xf numFmtId="176" fontId="5" fillId="3" borderId="17" xfId="0" applyNumberFormat="1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176" fontId="6" fillId="16" borderId="13" xfId="0" applyNumberFormat="1" applyFont="1" applyFill="1" applyBorder="1" applyAlignment="1">
      <alignment horizontal="right" vertical="center"/>
    </xf>
    <xf numFmtId="176" fontId="6" fillId="6" borderId="40" xfId="0" applyNumberFormat="1" applyFont="1" applyFill="1" applyBorder="1" applyAlignment="1">
      <alignment horizontal="right" vertical="center"/>
    </xf>
    <xf numFmtId="176" fontId="6" fillId="8" borderId="41" xfId="0" applyNumberFormat="1" applyFont="1" applyFill="1" applyBorder="1" applyAlignment="1">
      <alignment horizontal="right" vertical="center"/>
    </xf>
    <xf numFmtId="176" fontId="6" fillId="16" borderId="42" xfId="0" applyNumberFormat="1" applyFont="1" applyFill="1" applyBorder="1" applyAlignment="1">
      <alignment horizontal="right" vertical="center"/>
    </xf>
    <xf numFmtId="176" fontId="4" fillId="3" borderId="18" xfId="0" applyNumberFormat="1" applyFont="1" applyFill="1" applyBorder="1" applyAlignment="1">
      <alignment horizontal="right" vertical="center"/>
    </xf>
    <xf numFmtId="176" fontId="4" fillId="3" borderId="19" xfId="0" applyNumberFormat="1" applyFont="1" applyFill="1" applyBorder="1" applyAlignment="1">
      <alignment horizontal="right" vertical="center"/>
    </xf>
    <xf numFmtId="0" fontId="0" fillId="4" borderId="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176" fontId="0" fillId="0" borderId="43" xfId="0" applyNumberForma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181" fontId="0" fillId="0" borderId="23" xfId="0" applyNumberFormat="1" applyBorder="1" applyAlignment="1">
      <alignment horizontal="center" vertical="center"/>
    </xf>
    <xf numFmtId="181" fontId="0" fillId="0" borderId="8" xfId="0" applyNumberFormat="1" applyBorder="1" applyAlignment="1">
      <alignment horizontal="center" vertical="center"/>
    </xf>
    <xf numFmtId="41" fontId="4" fillId="3" borderId="11" xfId="1" applyFont="1" applyFill="1" applyBorder="1">
      <alignment vertical="center"/>
    </xf>
    <xf numFmtId="41" fontId="4" fillId="3" borderId="8" xfId="1" applyFont="1" applyFill="1" applyBorder="1">
      <alignment vertical="center"/>
    </xf>
    <xf numFmtId="176" fontId="0" fillId="17" borderId="0" xfId="0" applyNumberFormat="1" applyFill="1" applyAlignment="1">
      <alignment horizontal="left" vertical="center" indent="1"/>
    </xf>
    <xf numFmtId="176" fontId="0" fillId="17" borderId="0" xfId="1" applyNumberFormat="1" applyFont="1" applyFill="1">
      <alignment vertical="center"/>
    </xf>
    <xf numFmtId="176" fontId="39" fillId="0" borderId="0" xfId="0" applyNumberFormat="1" applyFont="1">
      <alignment vertical="center"/>
    </xf>
    <xf numFmtId="176" fontId="0" fillId="0" borderId="8" xfId="0" applyNumberFormat="1" applyBorder="1" applyAlignment="1">
      <alignment horizontal="right" vertical="center"/>
    </xf>
    <xf numFmtId="176" fontId="0" fillId="0" borderId="8" xfId="0" applyNumberFormat="1" applyBorder="1">
      <alignment vertical="center"/>
    </xf>
    <xf numFmtId="176" fontId="5" fillId="0" borderId="8" xfId="0" applyNumberFormat="1" applyFont="1" applyBorder="1" applyAlignment="1">
      <alignment horizontal="right" vertical="center"/>
    </xf>
    <xf numFmtId="176" fontId="27" fillId="0" borderId="0" xfId="0" quotePrefix="1" applyNumberFormat="1" applyFont="1">
      <alignment vertical="center"/>
    </xf>
    <xf numFmtId="176" fontId="45" fillId="0" borderId="0" xfId="0" applyNumberFormat="1" applyFont="1">
      <alignment vertical="center"/>
    </xf>
    <xf numFmtId="182" fontId="15" fillId="5" borderId="7" xfId="0" applyNumberFormat="1" applyFont="1" applyFill="1" applyBorder="1" applyAlignment="1">
      <alignment horizontal="center" vertical="center"/>
    </xf>
    <xf numFmtId="0" fontId="46" fillId="4" borderId="0" xfId="0" applyFont="1" applyFill="1">
      <alignment vertical="center"/>
    </xf>
    <xf numFmtId="0" fontId="47" fillId="4" borderId="0" xfId="0" applyFont="1" applyFill="1" applyAlignment="1">
      <alignment horizontal="left" vertical="center" indent="1"/>
    </xf>
    <xf numFmtId="176" fontId="0" fillId="4" borderId="0" xfId="0" applyNumberFormat="1" applyFill="1">
      <alignment vertical="center"/>
    </xf>
    <xf numFmtId="183" fontId="0" fillId="0" borderId="0" xfId="0" applyNumberFormat="1">
      <alignment vertical="center"/>
    </xf>
    <xf numFmtId="183" fontId="0" fillId="0" borderId="13" xfId="0" applyNumberFormat="1" applyBorder="1">
      <alignment vertical="center"/>
    </xf>
    <xf numFmtId="179" fontId="31" fillId="0" borderId="0" xfId="0" applyNumberFormat="1" applyFont="1">
      <alignment vertical="center"/>
    </xf>
    <xf numFmtId="176" fontId="30" fillId="0" borderId="13" xfId="0" applyNumberFormat="1" applyFont="1" applyBorder="1">
      <alignment vertical="center"/>
    </xf>
    <xf numFmtId="176" fontId="4" fillId="0" borderId="0" xfId="0" applyNumberFormat="1" applyFont="1">
      <alignment vertical="center"/>
    </xf>
    <xf numFmtId="176" fontId="14" fillId="4" borderId="0" xfId="0" applyNumberFormat="1" applyFont="1" applyFill="1">
      <alignment vertical="center"/>
    </xf>
    <xf numFmtId="183" fontId="14" fillId="4" borderId="0" xfId="0" applyNumberFormat="1" applyFont="1" applyFill="1">
      <alignment vertical="center"/>
    </xf>
    <xf numFmtId="176" fontId="14" fillId="4" borderId="13" xfId="0" applyNumberFormat="1" applyFont="1" applyFill="1" applyBorder="1">
      <alignment vertical="center"/>
    </xf>
    <xf numFmtId="183" fontId="14" fillId="4" borderId="13" xfId="0" applyNumberFormat="1" applyFont="1" applyFill="1" applyBorder="1">
      <alignment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76" fontId="0" fillId="0" borderId="14" xfId="0" applyNumberFormat="1" applyBorder="1" applyAlignment="1">
      <alignment horizontal="center" vertical="center"/>
    </xf>
    <xf numFmtId="41" fontId="0" fillId="0" borderId="23" xfId="1" applyFont="1" applyBorder="1" applyAlignment="1">
      <alignment horizontal="center" vertical="center"/>
    </xf>
    <xf numFmtId="41" fontId="0" fillId="0" borderId="14" xfId="1" applyFont="1" applyBorder="1" applyAlignment="1">
      <alignment horizontal="center" vertical="center"/>
    </xf>
    <xf numFmtId="41" fontId="0" fillId="0" borderId="13" xfId="1" applyFont="1" applyBorder="1" applyAlignment="1">
      <alignment horizontal="center" vertical="center"/>
    </xf>
    <xf numFmtId="9" fontId="0" fillId="0" borderId="14" xfId="2" applyFont="1" applyBorder="1">
      <alignment vertical="center"/>
    </xf>
    <xf numFmtId="10" fontId="0" fillId="0" borderId="14" xfId="2" applyNumberFormat="1" applyFont="1" applyBorder="1" applyAlignment="1">
      <alignment horizontal="center" vertical="center"/>
    </xf>
    <xf numFmtId="176" fontId="0" fillId="0" borderId="13" xfId="0" quotePrefix="1" applyNumberFormat="1" applyBorder="1">
      <alignment vertical="center"/>
    </xf>
    <xf numFmtId="176" fontId="4" fillId="0" borderId="13" xfId="0" applyNumberFormat="1" applyFont="1" applyBorder="1">
      <alignment vertical="center"/>
    </xf>
    <xf numFmtId="176" fontId="6" fillId="0" borderId="13" xfId="0" applyNumberFormat="1" applyFont="1" applyBorder="1">
      <alignment vertical="center"/>
    </xf>
    <xf numFmtId="0" fontId="0" fillId="0" borderId="13" xfId="0" applyBorder="1">
      <alignment vertical="center"/>
    </xf>
    <xf numFmtId="176" fontId="0" fillId="0" borderId="13" xfId="0" applyNumberFormat="1" applyBorder="1" applyAlignment="1">
      <alignment horizontal="center" vertical="center"/>
    </xf>
    <xf numFmtId="183" fontId="0" fillId="0" borderId="0" xfId="0" applyNumberFormat="1" applyAlignment="1">
      <alignment horizontal="right" vertical="center"/>
    </xf>
    <xf numFmtId="176" fontId="4" fillId="0" borderId="9" xfId="0" applyNumberFormat="1" applyFont="1" applyBorder="1">
      <alignment vertical="center"/>
    </xf>
    <xf numFmtId="176" fontId="5" fillId="9" borderId="0" xfId="0" applyNumberFormat="1" applyFont="1" applyFill="1">
      <alignment vertical="center"/>
    </xf>
    <xf numFmtId="176" fontId="5" fillId="4" borderId="0" xfId="0" applyNumberFormat="1" applyFont="1" applyFill="1">
      <alignment vertical="center"/>
    </xf>
    <xf numFmtId="176" fontId="5" fillId="5" borderId="0" xfId="0" applyNumberFormat="1" applyFont="1" applyFill="1">
      <alignment vertical="center"/>
    </xf>
    <xf numFmtId="176" fontId="5" fillId="11" borderId="12" xfId="0" applyNumberFormat="1" applyFont="1" applyFill="1" applyBorder="1">
      <alignment vertical="center"/>
    </xf>
    <xf numFmtId="176" fontId="5" fillId="11" borderId="12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Continuous" vertical="center"/>
    </xf>
    <xf numFmtId="176" fontId="0" fillId="9" borderId="0" xfId="0" applyNumberFormat="1" applyFill="1">
      <alignment vertical="center"/>
    </xf>
    <xf numFmtId="176" fontId="49" fillId="0" borderId="0" xfId="0" applyNumberFormat="1" applyFont="1">
      <alignment vertical="center"/>
    </xf>
    <xf numFmtId="176" fontId="50" fillId="0" borderId="0" xfId="0" applyNumberFormat="1" applyFont="1">
      <alignment vertical="center"/>
    </xf>
    <xf numFmtId="184" fontId="0" fillId="0" borderId="0" xfId="0" quotePrefix="1" applyNumberForma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4" fontId="0" fillId="0" borderId="13" xfId="0" applyNumberFormat="1" applyBorder="1" applyAlignment="1">
      <alignment horizontal="center" vertical="center"/>
    </xf>
    <xf numFmtId="176" fontId="13" fillId="0" borderId="16" xfId="0" applyNumberFormat="1" applyFont="1" applyBorder="1" applyAlignment="1">
      <alignment horizontal="center" vertical="center"/>
    </xf>
    <xf numFmtId="176" fontId="13" fillId="0" borderId="23" xfId="0" applyNumberFormat="1" applyFont="1" applyBorder="1" applyAlignment="1">
      <alignment horizontal="center" vertical="center"/>
    </xf>
    <xf numFmtId="176" fontId="4" fillId="3" borderId="8" xfId="0" applyNumberFormat="1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0" fillId="8" borderId="0" xfId="0" applyNumberFormat="1" applyFill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6" fontId="4" fillId="3" borderId="44" xfId="0" applyNumberFormat="1" applyFont="1" applyFill="1" applyBorder="1" applyAlignment="1">
      <alignment horizontal="center" vertical="center"/>
    </xf>
    <xf numFmtId="176" fontId="38" fillId="2" borderId="0" xfId="0" applyNumberFormat="1" applyFont="1" applyFill="1">
      <alignment vertical="center"/>
    </xf>
    <xf numFmtId="176" fontId="13" fillId="0" borderId="0" xfId="0" applyNumberFormat="1" applyFont="1">
      <alignment vertical="center"/>
    </xf>
    <xf numFmtId="176" fontId="13" fillId="4" borderId="0" xfId="0" applyNumberFormat="1" applyFont="1" applyFill="1">
      <alignment vertical="center"/>
    </xf>
    <xf numFmtId="176" fontId="4" fillId="4" borderId="12" xfId="0" applyNumberFormat="1" applyFont="1" applyFill="1" applyBorder="1">
      <alignment vertical="center"/>
    </xf>
    <xf numFmtId="176" fontId="18" fillId="0" borderId="0" xfId="0" applyNumberFormat="1" applyFont="1" applyAlignment="1">
      <alignment horizontal="center" vertical="center"/>
    </xf>
    <xf numFmtId="176" fontId="10" fillId="19" borderId="13" xfId="0" applyNumberFormat="1" applyFont="1" applyFill="1" applyBorder="1">
      <alignment vertical="center"/>
    </xf>
    <xf numFmtId="176" fontId="4" fillId="19" borderId="13" xfId="0" applyNumberFormat="1" applyFont="1" applyFill="1" applyBorder="1">
      <alignment vertical="center"/>
    </xf>
    <xf numFmtId="176" fontId="0" fillId="19" borderId="0" xfId="0" applyNumberFormat="1" applyFill="1">
      <alignment vertical="center"/>
    </xf>
    <xf numFmtId="176" fontId="4" fillId="3" borderId="8" xfId="0" applyNumberFormat="1" applyFont="1" applyFill="1" applyBorder="1">
      <alignment vertical="center"/>
    </xf>
    <xf numFmtId="176" fontId="5" fillId="12" borderId="12" xfId="0" applyNumberFormat="1" applyFont="1" applyFill="1" applyBorder="1">
      <alignment vertical="center"/>
    </xf>
    <xf numFmtId="176" fontId="5" fillId="12" borderId="0" xfId="0" applyNumberFormat="1" applyFont="1" applyFill="1">
      <alignment vertical="center"/>
    </xf>
    <xf numFmtId="176" fontId="6" fillId="3" borderId="44" xfId="0" applyNumberFormat="1" applyFont="1" applyFill="1" applyBorder="1" applyAlignment="1">
      <alignment horizontal="right" vertical="center"/>
    </xf>
    <xf numFmtId="176" fontId="4" fillId="8" borderId="0" xfId="0" applyNumberFormat="1" applyFont="1" applyFill="1" applyAlignment="1">
      <alignment horizontal="right" vertical="center"/>
    </xf>
    <xf numFmtId="176" fontId="53" fillId="0" borderId="0" xfId="0" applyNumberFormat="1" applyFont="1" applyAlignment="1"/>
    <xf numFmtId="176" fontId="20" fillId="0" borderId="0" xfId="0" applyNumberFormat="1" applyFont="1" applyAlignment="1">
      <alignment horizontal="left" vertical="center"/>
    </xf>
    <xf numFmtId="176" fontId="54" fillId="5" borderId="16" xfId="0" applyNumberFormat="1" applyFont="1" applyFill="1" applyBorder="1" applyAlignment="1">
      <alignment horizontal="center" vertical="center"/>
    </xf>
    <xf numFmtId="176" fontId="55" fillId="0" borderId="0" xfId="0" applyNumberFormat="1" applyFont="1">
      <alignment vertical="center"/>
    </xf>
    <xf numFmtId="176" fontId="6" fillId="8" borderId="11" xfId="0" applyNumberFormat="1" applyFont="1" applyFill="1" applyBorder="1">
      <alignment vertical="center"/>
    </xf>
    <xf numFmtId="176" fontId="6" fillId="3" borderId="44" xfId="0" applyNumberFormat="1" applyFont="1" applyFill="1" applyBorder="1" applyAlignment="1">
      <alignment horizontal="center" vertical="center"/>
    </xf>
    <xf numFmtId="176" fontId="56" fillId="0" borderId="0" xfId="0" applyNumberFormat="1" applyFont="1">
      <alignment vertical="center"/>
    </xf>
    <xf numFmtId="176" fontId="20" fillId="18" borderId="0" xfId="1" applyNumberFormat="1" applyFont="1" applyFill="1" applyAlignment="1">
      <alignment horizontal="left"/>
    </xf>
    <xf numFmtId="176" fontId="20" fillId="18" borderId="0" xfId="1" applyNumberFormat="1" applyFont="1" applyFill="1" applyAlignment="1">
      <alignment horizontal="right" vertical="top"/>
    </xf>
    <xf numFmtId="176" fontId="20" fillId="18" borderId="0" xfId="1" applyNumberFormat="1" applyFont="1" applyFill="1" applyAlignment="1">
      <alignment horizontal="left" vertical="top"/>
    </xf>
    <xf numFmtId="185" fontId="38" fillId="0" borderId="0" xfId="0" applyNumberFormat="1" applyFont="1" applyAlignment="1">
      <alignment horizontal="left" vertical="center"/>
    </xf>
    <xf numFmtId="186" fontId="5" fillId="3" borderId="44" xfId="0" applyNumberFormat="1" applyFont="1" applyFill="1" applyBorder="1" applyAlignment="1">
      <alignment horizontal="center" vertical="center"/>
    </xf>
    <xf numFmtId="186" fontId="5" fillId="12" borderId="12" xfId="0" applyNumberFormat="1" applyFont="1" applyFill="1" applyBorder="1">
      <alignment vertical="center"/>
    </xf>
    <xf numFmtId="186" fontId="4" fillId="3" borderId="44" xfId="0" applyNumberFormat="1" applyFont="1" applyFill="1" applyBorder="1" applyAlignment="1">
      <alignment horizontal="right" vertical="center"/>
    </xf>
    <xf numFmtId="186" fontId="4" fillId="3" borderId="44" xfId="0" applyNumberFormat="1" applyFont="1" applyFill="1" applyBorder="1" applyAlignment="1">
      <alignment horizontal="center" vertical="center"/>
    </xf>
    <xf numFmtId="176" fontId="57" fillId="0" borderId="0" xfId="0" applyNumberFormat="1" applyFont="1">
      <alignment vertical="center"/>
    </xf>
    <xf numFmtId="176" fontId="58" fillId="0" borderId="0" xfId="0" applyNumberFormat="1" applyFont="1">
      <alignment vertical="center"/>
    </xf>
    <xf numFmtId="176" fontId="9" fillId="0" borderId="9" xfId="0" quotePrefix="1" applyNumberFormat="1" applyFont="1" applyBorder="1" applyAlignment="1">
      <alignment horizontal="left" vertical="center"/>
    </xf>
    <xf numFmtId="176" fontId="4" fillId="15" borderId="29" xfId="0" applyNumberFormat="1" applyFont="1" applyFill="1" applyBorder="1" applyAlignment="1">
      <alignment horizontal="center" vertical="center"/>
    </xf>
    <xf numFmtId="176" fontId="4" fillId="15" borderId="30" xfId="0" applyNumberFormat="1" applyFont="1" applyFill="1" applyBorder="1">
      <alignment vertical="center"/>
    </xf>
    <xf numFmtId="176" fontId="59" fillId="0" borderId="0" xfId="0" applyNumberFormat="1" applyFont="1">
      <alignment vertical="center"/>
    </xf>
    <xf numFmtId="176" fontId="9" fillId="19" borderId="0" xfId="1" applyNumberFormat="1" applyFont="1" applyFill="1" applyAlignment="1">
      <alignment horizontal="right"/>
    </xf>
    <xf numFmtId="176" fontId="5" fillId="0" borderId="0" xfId="0" applyNumberFormat="1" applyFont="1" applyAlignment="1">
      <alignment horizontal="left" vertical="center" indent="1"/>
    </xf>
    <xf numFmtId="188" fontId="61" fillId="4" borderId="12" xfId="0" applyNumberFormat="1" applyFont="1" applyFill="1" applyBorder="1" applyAlignment="1">
      <alignment horizontal="center" vertical="center"/>
    </xf>
    <xf numFmtId="176" fontId="28" fillId="0" borderId="12" xfId="0" applyNumberFormat="1" applyFont="1" applyBorder="1">
      <alignment vertical="center"/>
    </xf>
    <xf numFmtId="176" fontId="28" fillId="0" borderId="44" xfId="0" applyNumberFormat="1" applyFont="1" applyBorder="1" applyAlignment="1">
      <alignment horizontal="center" vertical="center"/>
    </xf>
    <xf numFmtId="176" fontId="16" fillId="0" borderId="12" xfId="0" applyNumberFormat="1" applyFont="1" applyBorder="1">
      <alignment vertical="center"/>
    </xf>
    <xf numFmtId="176" fontId="14" fillId="0" borderId="12" xfId="0" applyNumberFormat="1" applyFont="1" applyBorder="1">
      <alignment vertical="center"/>
    </xf>
    <xf numFmtId="176" fontId="7" fillId="6" borderId="0" xfId="0" applyNumberFormat="1" applyFont="1" applyFill="1">
      <alignment vertical="center"/>
    </xf>
    <xf numFmtId="176" fontId="0" fillId="6" borderId="0" xfId="0" applyNumberFormat="1" applyFill="1">
      <alignment vertical="center"/>
    </xf>
    <xf numFmtId="41" fontId="5" fillId="0" borderId="0" xfId="1" applyFont="1">
      <alignment vertical="center"/>
    </xf>
    <xf numFmtId="178" fontId="5" fillId="0" borderId="0" xfId="2" applyNumberFormat="1" applyFont="1">
      <alignment vertical="center"/>
    </xf>
    <xf numFmtId="41" fontId="0" fillId="0" borderId="0" xfId="0" applyNumberFormat="1">
      <alignment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176" fontId="4" fillId="10" borderId="0" xfId="0" applyNumberFormat="1" applyFont="1" applyFill="1">
      <alignment vertical="center"/>
    </xf>
    <xf numFmtId="0" fontId="4" fillId="10" borderId="0" xfId="0" applyFont="1" applyFill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2" xfId="0" applyFont="1" applyFill="1" applyBorder="1">
      <alignment vertical="center"/>
    </xf>
    <xf numFmtId="0" fontId="5" fillId="0" borderId="45" xfId="0" applyFont="1" applyBorder="1" applyAlignment="1">
      <alignment horizontal="right" vertical="center"/>
    </xf>
    <xf numFmtId="41" fontId="0" fillId="0" borderId="45" xfId="0" applyNumberFormat="1" applyBorder="1">
      <alignment vertical="center"/>
    </xf>
    <xf numFmtId="0" fontId="4" fillId="0" borderId="45" xfId="0" applyFont="1" applyBorder="1" applyAlignment="1">
      <alignment horizontal="center" vertical="center"/>
    </xf>
    <xf numFmtId="0" fontId="61" fillId="0" borderId="46" xfId="0" applyFont="1" applyBorder="1" applyAlignment="1">
      <alignment horizontal="center" vertical="center"/>
    </xf>
    <xf numFmtId="0" fontId="61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right" vertical="center"/>
    </xf>
    <xf numFmtId="41" fontId="0" fillId="0" borderId="48" xfId="0" applyNumberFormat="1" applyBorder="1">
      <alignment vertical="center"/>
    </xf>
    <xf numFmtId="187" fontId="0" fillId="0" borderId="48" xfId="0" applyNumberFormat="1" applyBorder="1" applyAlignment="1">
      <alignment horizontal="right" vertical="center"/>
    </xf>
    <xf numFmtId="0" fontId="4" fillId="0" borderId="48" xfId="0" applyFont="1" applyBorder="1" applyAlignment="1">
      <alignment horizontal="center" vertical="center"/>
    </xf>
    <xf numFmtId="176" fontId="0" fillId="0" borderId="48" xfId="0" applyNumberFormat="1" applyBorder="1">
      <alignment vertical="center"/>
    </xf>
    <xf numFmtId="0" fontId="0" fillId="0" borderId="48" xfId="0" applyBorder="1">
      <alignment vertical="center"/>
    </xf>
    <xf numFmtId="176" fontId="4" fillId="10" borderId="48" xfId="0" applyNumberFormat="1" applyFont="1" applyFill="1" applyBorder="1">
      <alignment vertical="center"/>
    </xf>
    <xf numFmtId="0" fontId="4" fillId="10" borderId="48" xfId="0" applyFont="1" applyFill="1" applyBorder="1" applyAlignment="1">
      <alignment horizontal="center" vertical="center"/>
    </xf>
    <xf numFmtId="176" fontId="0" fillId="0" borderId="49" xfId="0" applyNumberFormat="1" applyBorder="1">
      <alignment vertical="center"/>
    </xf>
    <xf numFmtId="0" fontId="4" fillId="0" borderId="0" xfId="0" applyFont="1" applyAlignment="1">
      <alignment horizontal="right" vertical="center"/>
    </xf>
    <xf numFmtId="0" fontId="14" fillId="0" borderId="0" xfId="0" quotePrefix="1" applyFont="1" applyAlignment="1">
      <alignment horizontal="right" vertical="center"/>
    </xf>
    <xf numFmtId="0" fontId="13" fillId="0" borderId="0" xfId="0" quotePrefix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62" fillId="0" borderId="0" xfId="0" applyFont="1">
      <alignment vertical="center"/>
    </xf>
    <xf numFmtId="0" fontId="62" fillId="0" borderId="0" xfId="0" applyFont="1" applyAlignment="1">
      <alignment horizontal="center" vertical="center"/>
    </xf>
    <xf numFmtId="0" fontId="24" fillId="3" borderId="0" xfId="0" applyFont="1" applyFill="1">
      <alignment vertical="center"/>
    </xf>
    <xf numFmtId="41" fontId="24" fillId="3" borderId="0" xfId="1" applyFont="1" applyFill="1">
      <alignment vertical="center"/>
    </xf>
    <xf numFmtId="0" fontId="6" fillId="0" borderId="0" xfId="0" applyFo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4" fillId="0" borderId="0" xfId="0" quotePrefix="1" applyFont="1" applyAlignment="1">
      <alignment horizontal="left" vertical="center" indent="1"/>
    </xf>
    <xf numFmtId="186" fontId="5" fillId="0" borderId="0" xfId="0" applyNumberFormat="1" applyFont="1" applyAlignment="1">
      <alignment horizontal="right" vertical="center"/>
    </xf>
    <xf numFmtId="186" fontId="5" fillId="0" borderId="45" xfId="0" applyNumberFormat="1" applyFont="1" applyBorder="1" applyAlignment="1">
      <alignment horizontal="right" vertical="center"/>
    </xf>
    <xf numFmtId="41" fontId="10" fillId="10" borderId="48" xfId="0" applyNumberFormat="1" applyFont="1" applyFill="1" applyBorder="1">
      <alignment vertical="center"/>
    </xf>
    <xf numFmtId="41" fontId="10" fillId="10" borderId="0" xfId="0" applyNumberFormat="1" applyFont="1" applyFill="1">
      <alignment vertical="center"/>
    </xf>
    <xf numFmtId="0" fontId="14" fillId="0" borderId="0" xfId="0" quotePrefix="1" applyFont="1" applyAlignment="1">
      <alignment horizontal="left" vertical="center" indent="2"/>
    </xf>
    <xf numFmtId="176" fontId="63" fillId="0" borderId="0" xfId="0" applyNumberFormat="1" applyFont="1">
      <alignment vertical="center"/>
    </xf>
    <xf numFmtId="176" fontId="63" fillId="9" borderId="0" xfId="0" applyNumberFormat="1" applyFont="1" applyFill="1">
      <alignment vertical="center"/>
    </xf>
    <xf numFmtId="176" fontId="64" fillId="0" borderId="0" xfId="0" applyNumberFormat="1" applyFont="1">
      <alignment vertical="center"/>
    </xf>
    <xf numFmtId="176" fontId="65" fillId="0" borderId="0" xfId="0" applyNumberFormat="1" applyFont="1">
      <alignment vertical="center"/>
    </xf>
    <xf numFmtId="188" fontId="66" fillId="11" borderId="12" xfId="0" applyNumberFormat="1" applyFont="1" applyFill="1" applyBorder="1" applyAlignment="1">
      <alignment horizontal="center" vertical="center"/>
    </xf>
    <xf numFmtId="176" fontId="24" fillId="3" borderId="12" xfId="0" applyNumberFormat="1" applyFont="1" applyFill="1" applyBorder="1" applyAlignment="1">
      <alignment horizontal="center" vertical="center"/>
    </xf>
    <xf numFmtId="176" fontId="24" fillId="17" borderId="12" xfId="0" applyNumberFormat="1" applyFont="1" applyFill="1" applyBorder="1" applyAlignment="1">
      <alignment horizontal="right" vertical="center"/>
    </xf>
    <xf numFmtId="0" fontId="67" fillId="0" borderId="0" xfId="0" applyFont="1">
      <alignment vertical="center"/>
    </xf>
    <xf numFmtId="176" fontId="69" fillId="4" borderId="0" xfId="0" applyNumberFormat="1" applyFont="1" applyFill="1">
      <alignment vertical="center"/>
    </xf>
    <xf numFmtId="176" fontId="69" fillId="0" borderId="0" xfId="0" applyNumberFormat="1" applyFont="1" applyAlignment="1">
      <alignment horizontal="right" vertical="center"/>
    </xf>
    <xf numFmtId="176" fontId="60" fillId="0" borderId="0" xfId="0" applyNumberFormat="1" applyFont="1">
      <alignment vertical="center"/>
    </xf>
    <xf numFmtId="176" fontId="4" fillId="5" borderId="0" xfId="0" applyNumberFormat="1" applyFont="1" applyFill="1">
      <alignment vertical="center"/>
    </xf>
    <xf numFmtId="176" fontId="5" fillId="5" borderId="0" xfId="0" applyNumberFormat="1" applyFont="1" applyFill="1" applyAlignment="1">
      <alignment horizontal="right" vertical="center"/>
    </xf>
    <xf numFmtId="176" fontId="28" fillId="5" borderId="12" xfId="0" applyNumberFormat="1" applyFont="1" applyFill="1" applyBorder="1">
      <alignment vertical="center"/>
    </xf>
    <xf numFmtId="176" fontId="51" fillId="0" borderId="0" xfId="0" applyNumberFormat="1" applyFont="1" applyAlignment="1">
      <alignment horizontal="right" vertical="center"/>
    </xf>
    <xf numFmtId="176" fontId="35" fillId="8" borderId="0" xfId="0" applyNumberFormat="1" applyFont="1" applyFill="1">
      <alignment vertical="center"/>
    </xf>
    <xf numFmtId="176" fontId="9" fillId="8" borderId="0" xfId="0" applyNumberFormat="1" applyFont="1" applyFill="1" applyAlignment="1">
      <alignment horizontal="right" vertical="center"/>
    </xf>
    <xf numFmtId="176" fontId="4" fillId="19" borderId="0" xfId="1" applyNumberFormat="1" applyFont="1" applyFill="1" applyAlignment="1">
      <alignment horizontal="right"/>
    </xf>
    <xf numFmtId="176" fontId="5" fillId="20" borderId="0" xfId="0" applyNumberFormat="1" applyFont="1" applyFill="1">
      <alignment vertical="center"/>
    </xf>
    <xf numFmtId="176" fontId="24" fillId="5" borderId="12" xfId="0" applyNumberFormat="1" applyFont="1" applyFill="1" applyBorder="1" applyAlignment="1">
      <alignment horizontal="right" vertical="center"/>
    </xf>
    <xf numFmtId="176" fontId="9" fillId="18" borderId="0" xfId="1" applyNumberFormat="1" applyFont="1" applyFill="1" applyAlignment="1">
      <alignment horizontal="right" vertical="top"/>
    </xf>
    <xf numFmtId="176" fontId="10" fillId="5" borderId="12" xfId="0" applyNumberFormat="1" applyFont="1" applyFill="1" applyBorder="1">
      <alignment vertical="center"/>
    </xf>
    <xf numFmtId="176" fontId="7" fillId="11" borderId="0" xfId="0" applyNumberFormat="1" applyFont="1" applyFill="1">
      <alignment vertical="center"/>
    </xf>
    <xf numFmtId="187" fontId="5" fillId="11" borderId="12" xfId="0" applyNumberFormat="1" applyFont="1" applyFill="1" applyBorder="1">
      <alignment vertical="center"/>
    </xf>
    <xf numFmtId="176" fontId="6" fillId="21" borderId="12" xfId="0" applyNumberFormat="1" applyFont="1" applyFill="1" applyBorder="1">
      <alignment vertical="center"/>
    </xf>
    <xf numFmtId="176" fontId="10" fillId="12" borderId="12" xfId="0" applyNumberFormat="1" applyFont="1" applyFill="1" applyBorder="1">
      <alignment vertical="center"/>
    </xf>
    <xf numFmtId="176" fontId="16" fillId="3" borderId="12" xfId="0" applyNumberFormat="1" applyFont="1" applyFill="1" applyBorder="1">
      <alignment vertical="center"/>
    </xf>
    <xf numFmtId="176" fontId="4" fillId="6" borderId="0" xfId="0" applyNumberFormat="1" applyFont="1" applyFill="1">
      <alignment vertical="center"/>
    </xf>
    <xf numFmtId="191" fontId="9" fillId="0" borderId="0" xfId="0" applyNumberFormat="1" applyFont="1" applyAlignment="1">
      <alignment horizontal="right" vertical="center"/>
    </xf>
    <xf numFmtId="190" fontId="6" fillId="3" borderId="0" xfId="0" applyNumberFormat="1" applyFont="1" applyFill="1">
      <alignment vertical="center"/>
    </xf>
    <xf numFmtId="176" fontId="4" fillId="2" borderId="9" xfId="0" applyNumberFormat="1" applyFont="1" applyFill="1" applyBorder="1" applyAlignment="1">
      <alignment horizontal="center" vertical="center"/>
    </xf>
    <xf numFmtId="176" fontId="4" fillId="2" borderId="10" xfId="0" applyNumberFormat="1" applyFont="1" applyFill="1" applyBorder="1" applyAlignment="1">
      <alignment horizontal="center" vertical="center"/>
    </xf>
    <xf numFmtId="176" fontId="5" fillId="5" borderId="12" xfId="0" applyNumberFormat="1" applyFont="1" applyFill="1" applyBorder="1" applyAlignment="1">
      <alignment horizontal="center" vertical="center"/>
    </xf>
    <xf numFmtId="176" fontId="5" fillId="5" borderId="11" xfId="0" applyNumberFormat="1" applyFont="1" applyFill="1" applyBorder="1" applyAlignment="1">
      <alignment horizontal="center" vertical="center"/>
    </xf>
    <xf numFmtId="176" fontId="4" fillId="2" borderId="0" xfId="0" quotePrefix="1" applyNumberFormat="1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176" fontId="24" fillId="17" borderId="12" xfId="0" applyNumberFormat="1" applyFont="1" applyFill="1" applyBorder="1" applyAlignment="1">
      <alignment horizontal="center" vertical="center"/>
    </xf>
    <xf numFmtId="176" fontId="5" fillId="4" borderId="17" xfId="0" applyNumberFormat="1" applyFont="1" applyFill="1" applyBorder="1" applyAlignment="1">
      <alignment horizontal="center" vertical="center"/>
    </xf>
    <xf numFmtId="176" fontId="5" fillId="4" borderId="11" xfId="0" applyNumberFormat="1" applyFont="1" applyFill="1" applyBorder="1" applyAlignment="1">
      <alignment horizontal="center" vertical="center"/>
    </xf>
    <xf numFmtId="176" fontId="5" fillId="5" borderId="17" xfId="0" applyNumberFormat="1" applyFont="1" applyFill="1" applyBorder="1" applyAlignment="1">
      <alignment horizontal="center" vertical="center"/>
    </xf>
    <xf numFmtId="176" fontId="5" fillId="3" borderId="17" xfId="0" applyNumberFormat="1" applyFont="1" applyFill="1" applyBorder="1" applyAlignment="1">
      <alignment horizontal="center" vertical="center"/>
    </xf>
    <xf numFmtId="176" fontId="5" fillId="3" borderId="11" xfId="0" applyNumberFormat="1" applyFont="1" applyFill="1" applyBorder="1" applyAlignment="1">
      <alignment horizontal="center" vertical="center"/>
    </xf>
    <xf numFmtId="176" fontId="5" fillId="6" borderId="17" xfId="0" applyNumberFormat="1" applyFont="1" applyFill="1" applyBorder="1" applyAlignment="1">
      <alignment horizontal="center" vertical="center"/>
    </xf>
    <xf numFmtId="176" fontId="5" fillId="6" borderId="11" xfId="0" applyNumberFormat="1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179" fontId="5" fillId="0" borderId="13" xfId="0" applyNumberFormat="1" applyFont="1" applyBorder="1" applyAlignment="1">
      <alignment horizontal="left"/>
    </xf>
    <xf numFmtId="179" fontId="5" fillId="0" borderId="0" xfId="0" applyNumberFormat="1" applyFont="1" applyAlignment="1">
      <alignment horizontal="left"/>
    </xf>
    <xf numFmtId="0" fontId="6" fillId="3" borderId="36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6" fontId="7" fillId="3" borderId="36" xfId="0" applyNumberFormat="1" applyFont="1" applyFill="1" applyBorder="1" applyAlignment="1">
      <alignment horizontal="center" vertical="center"/>
    </xf>
    <xf numFmtId="176" fontId="7" fillId="3" borderId="0" xfId="0" applyNumberFormat="1" applyFont="1" applyFill="1" applyAlignment="1">
      <alignment horizontal="center" vertical="center"/>
    </xf>
    <xf numFmtId="176" fontId="10" fillId="14" borderId="17" xfId="0" applyNumberFormat="1" applyFont="1" applyFill="1" applyBorder="1" applyAlignment="1">
      <alignment horizontal="center" vertical="center"/>
    </xf>
    <xf numFmtId="176" fontId="10" fillId="14" borderId="11" xfId="0" applyNumberFormat="1" applyFont="1" applyFill="1" applyBorder="1" applyAlignment="1">
      <alignment horizontal="center" vertical="center"/>
    </xf>
    <xf numFmtId="176" fontId="9" fillId="0" borderId="0" xfId="0" quotePrefix="1" applyNumberFormat="1" applyFont="1" applyBorder="1" applyAlignment="1">
      <alignment horizontal="left" vertical="center"/>
    </xf>
    <xf numFmtId="176" fontId="4" fillId="13" borderId="40" xfId="0" applyNumberFormat="1" applyFont="1" applyFill="1" applyBorder="1">
      <alignment vertical="center"/>
    </xf>
    <xf numFmtId="176" fontId="4" fillId="9" borderId="40" xfId="0" applyNumberFormat="1" applyFont="1" applyFill="1" applyBorder="1" applyAlignment="1">
      <alignment horizontal="right" vertical="center"/>
    </xf>
    <xf numFmtId="176" fontId="4" fillId="6" borderId="50" xfId="1" applyNumberFormat="1" applyFont="1" applyFill="1" applyBorder="1" applyAlignment="1">
      <alignment horizontal="right" vertical="top"/>
    </xf>
    <xf numFmtId="176" fontId="4" fillId="6" borderId="51" xfId="1" applyNumberFormat="1" applyFont="1" applyFill="1" applyBorder="1" applyAlignment="1">
      <alignment horizontal="left" vertical="center"/>
    </xf>
    <xf numFmtId="176" fontId="9" fillId="2" borderId="52" xfId="1" applyNumberFormat="1" applyFont="1" applyFill="1" applyBorder="1" applyAlignment="1">
      <alignment horizontal="right" vertical="top"/>
    </xf>
    <xf numFmtId="176" fontId="20" fillId="2" borderId="53" xfId="1" applyNumberFormat="1" applyFont="1" applyFill="1" applyBorder="1" applyAlignment="1">
      <alignment horizontal="left" vertical="center"/>
    </xf>
    <xf numFmtId="188" fontId="66" fillId="11" borderId="12" xfId="0" quotePrefix="1" applyNumberFormat="1" applyFont="1" applyFill="1" applyBorder="1" applyAlignment="1">
      <alignment horizontal="center" vertical="center"/>
    </xf>
    <xf numFmtId="188" fontId="8" fillId="11" borderId="12" xfId="0" quotePrefix="1" applyNumberFormat="1" applyFont="1" applyFill="1" applyBorder="1" applyAlignment="1">
      <alignment horizontal="center" vertical="center"/>
    </xf>
    <xf numFmtId="176" fontId="71" fillId="22" borderId="0" xfId="0" applyNumberFormat="1" applyFont="1" applyFill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FFFF"/>
      <color rgb="FF0000FF"/>
      <color rgb="FFBFF7F7"/>
      <color rgb="FF0EDCF2"/>
      <color rgb="FFFFFFCC"/>
      <color rgb="FF00FFCC"/>
      <color rgb="FF01FFBC"/>
      <color rgb="FF0CF454"/>
      <color rgb="FF0539BB"/>
      <color rgb="FF26DA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84</xdr:row>
          <xdr:rowOff>47625</xdr:rowOff>
        </xdr:from>
        <xdr:to>
          <xdr:col>13</xdr:col>
          <xdr:colOff>457200</xdr:colOff>
          <xdr:row>86</xdr:row>
          <xdr:rowOff>133350</xdr:rowOff>
        </xdr:to>
        <xdr:sp macro="" textlink="">
          <xdr:nvSpPr>
            <xdr:cNvPr id="90185" name="Object 73" hidden="1">
              <a:extLst>
                <a:ext uri="{63B3BB69-23CF-44E3-9099-C40C66FF867C}">
                  <a14:compatExt spid="_x0000_s90185"/>
                </a:ext>
                <a:ext uri="{FF2B5EF4-FFF2-40B4-BE49-F238E27FC236}">
                  <a16:creationId xmlns:a16="http://schemas.microsoft.com/office/drawing/2014/main" id="{00000000-0008-0000-0400-000049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1028700</xdr:colOff>
          <xdr:row>87</xdr:row>
          <xdr:rowOff>85725</xdr:rowOff>
        </xdr:from>
        <xdr:to>
          <xdr:col>13</xdr:col>
          <xdr:colOff>428625</xdr:colOff>
          <xdr:row>89</xdr:row>
          <xdr:rowOff>180975</xdr:rowOff>
        </xdr:to>
        <xdr:sp macro="" textlink="">
          <xdr:nvSpPr>
            <xdr:cNvPr id="90187" name="Object 75" hidden="1">
              <a:extLst>
                <a:ext uri="{63B3BB69-23CF-44E3-9099-C40C66FF867C}">
                  <a14:compatExt spid="_x0000_s90187"/>
                </a:ext>
                <a:ext uri="{FF2B5EF4-FFF2-40B4-BE49-F238E27FC236}">
                  <a16:creationId xmlns:a16="http://schemas.microsoft.com/office/drawing/2014/main" id="{00000000-0008-0000-0400-00004B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&#54200;&#51032;&#51216;/@+1" TargetMode="Externa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AB19-E547-40A6-97F8-1E2CDC7EDE20}">
  <sheetPr>
    <tabColor rgb="FFFFFF00"/>
  </sheetPr>
  <dimension ref="B1:R75"/>
  <sheetViews>
    <sheetView topLeftCell="A4" workbookViewId="0">
      <selection activeCell="G31" sqref="G31"/>
    </sheetView>
  </sheetViews>
  <sheetFormatPr defaultColWidth="8.625" defaultRowHeight="16.5" x14ac:dyDescent="0.3"/>
  <cols>
    <col min="1" max="1" width="1.25" style="1" customWidth="1"/>
    <col min="2" max="2" width="1.875" style="1" customWidth="1"/>
    <col min="3" max="3" width="2.125" style="1" customWidth="1"/>
    <col min="4" max="4" width="11.25" style="1" customWidth="1"/>
    <col min="5" max="5" width="15" style="1" customWidth="1"/>
    <col min="6" max="6" width="15.375" style="1" customWidth="1"/>
    <col min="7" max="8" width="13.875" style="1" customWidth="1"/>
    <col min="9" max="9" width="13.5" style="1" customWidth="1"/>
    <col min="10" max="10" width="6.125" style="1" customWidth="1"/>
    <col min="11" max="11" width="13.625" style="1" customWidth="1"/>
    <col min="12" max="12" width="7.125" style="1" customWidth="1"/>
    <col min="13" max="13" width="8.625" style="1"/>
    <col min="14" max="14" width="11.875" style="1" customWidth="1"/>
    <col min="15" max="15" width="11.625" style="1" bestFit="1" customWidth="1"/>
    <col min="16" max="16" width="8.625" style="1"/>
    <col min="17" max="17" width="12.625" style="1" bestFit="1" customWidth="1"/>
    <col min="18" max="18" width="11.625" style="1" bestFit="1" customWidth="1"/>
    <col min="19" max="19" width="5.75" style="1" customWidth="1"/>
    <col min="20" max="16384" width="8.625" style="1"/>
  </cols>
  <sheetData>
    <row r="1" spans="2:18" ht="17.25" thickBot="1" x14ac:dyDescent="0.35">
      <c r="G1" s="2" t="s">
        <v>0</v>
      </c>
    </row>
    <row r="2" spans="2:18" ht="17.25" thickTop="1" x14ac:dyDescent="0.3">
      <c r="B2" s="447" t="s">
        <v>1</v>
      </c>
      <c r="C2" s="447"/>
      <c r="D2" s="447"/>
      <c r="E2" s="3" t="s">
        <v>2</v>
      </c>
      <c r="F2" s="4" t="s">
        <v>3</v>
      </c>
      <c r="G2" s="5" t="s">
        <v>4</v>
      </c>
    </row>
    <row r="3" spans="2:18" ht="17.25" thickBot="1" x14ac:dyDescent="0.35">
      <c r="E3" s="6">
        <f>SUM(F3:G3)</f>
        <v>1049718000</v>
      </c>
      <c r="F3" s="7">
        <f>SUM(E6,F9,F14,G19)</f>
        <v>1194418000</v>
      </c>
      <c r="G3" s="8">
        <f>SUM(G9,G14,H19)</f>
        <v>-144700000</v>
      </c>
    </row>
    <row r="4" spans="2:18" ht="17.25" thickTop="1" x14ac:dyDescent="0.3"/>
    <row r="5" spans="2:18" x14ac:dyDescent="0.3">
      <c r="B5" s="448" t="s">
        <v>5</v>
      </c>
      <c r="C5" s="448"/>
      <c r="D5" s="449"/>
      <c r="E5" s="10" t="s">
        <v>2</v>
      </c>
      <c r="F5" s="11" t="s">
        <v>6</v>
      </c>
      <c r="G5" s="12" t="s">
        <v>7</v>
      </c>
    </row>
    <row r="6" spans="2:18" x14ac:dyDescent="0.3">
      <c r="C6" s="13"/>
      <c r="D6" s="13"/>
      <c r="E6" s="14">
        <f>F6+G6</f>
        <v>700000000</v>
      </c>
      <c r="F6" s="15">
        <v>700000000</v>
      </c>
      <c r="G6" s="16">
        <v>0</v>
      </c>
      <c r="H6" s="13"/>
      <c r="I6" s="13"/>
      <c r="J6" s="13"/>
      <c r="K6" s="13"/>
    </row>
    <row r="8" spans="2:18" x14ac:dyDescent="0.3">
      <c r="B8" s="448" t="s">
        <v>8</v>
      </c>
      <c r="C8" s="448"/>
      <c r="D8" s="449"/>
      <c r="E8" s="10" t="s">
        <v>2</v>
      </c>
      <c r="F8" s="11" t="s">
        <v>6</v>
      </c>
      <c r="G8" s="12" t="s">
        <v>7</v>
      </c>
      <c r="H8" s="13"/>
      <c r="I8" s="13"/>
      <c r="J8" s="13"/>
      <c r="K8" s="13"/>
    </row>
    <row r="9" spans="2:18" x14ac:dyDescent="0.3">
      <c r="E9" s="14">
        <f>F9+G9</f>
        <v>106800000</v>
      </c>
      <c r="F9" s="86">
        <v>250000000</v>
      </c>
      <c r="G9" s="16">
        <f>SUM(G10:G11)</f>
        <v>-143200000</v>
      </c>
    </row>
    <row r="10" spans="2:18" x14ac:dyDescent="0.3">
      <c r="F10" s="17" t="s">
        <v>9</v>
      </c>
      <c r="G10" s="1">
        <v>-113200000</v>
      </c>
    </row>
    <row r="11" spans="2:18" x14ac:dyDescent="0.3">
      <c r="F11" s="17" t="s">
        <v>10</v>
      </c>
      <c r="G11" s="1">
        <v>-30000000</v>
      </c>
    </row>
    <row r="12" spans="2:18" x14ac:dyDescent="0.3">
      <c r="F12" s="17"/>
    </row>
    <row r="13" spans="2:18" x14ac:dyDescent="0.3">
      <c r="B13" s="448" t="s">
        <v>11</v>
      </c>
      <c r="C13" s="448"/>
      <c r="D13" s="449"/>
      <c r="E13" s="10" t="s">
        <v>2</v>
      </c>
      <c r="F13" s="11" t="s">
        <v>12</v>
      </c>
      <c r="G13" s="12" t="s">
        <v>86</v>
      </c>
      <c r="H13" s="13" t="s">
        <v>13</v>
      </c>
      <c r="I13" s="13"/>
      <c r="J13" s="13"/>
      <c r="K13" s="13"/>
      <c r="N13" s="18"/>
      <c r="O13" s="18"/>
      <c r="P13" s="18"/>
      <c r="Q13" s="18"/>
      <c r="R13" s="18"/>
    </row>
    <row r="14" spans="2:18" x14ac:dyDescent="0.3">
      <c r="E14" s="14">
        <f>F14+G14</f>
        <v>18500000</v>
      </c>
      <c r="F14" s="15">
        <f>20000000+50000000-50000000</f>
        <v>20000000</v>
      </c>
      <c r="G14" s="19">
        <v>-1500000</v>
      </c>
      <c r="H14" s="20" t="s">
        <v>87</v>
      </c>
      <c r="I14" s="21"/>
      <c r="J14" s="21"/>
      <c r="K14" s="21"/>
      <c r="N14" s="18"/>
      <c r="O14" s="18"/>
      <c r="P14" s="18"/>
    </row>
    <row r="15" spans="2:18" x14ac:dyDescent="0.3">
      <c r="E15" s="115" t="s">
        <v>88</v>
      </c>
      <c r="H15" s="20" t="s">
        <v>14</v>
      </c>
      <c r="J15" s="21"/>
      <c r="K15" s="21"/>
      <c r="N15" s="18"/>
      <c r="O15" s="18"/>
      <c r="P15" s="18"/>
    </row>
    <row r="16" spans="2:18" x14ac:dyDescent="0.3">
      <c r="H16" s="20"/>
      <c r="J16" s="21"/>
      <c r="K16" s="21"/>
      <c r="N16" s="18"/>
      <c r="O16" s="18"/>
      <c r="P16" s="18"/>
    </row>
    <row r="17" spans="2:18" x14ac:dyDescent="0.3">
      <c r="B17" s="13" t="s">
        <v>134</v>
      </c>
      <c r="F17" s="17"/>
      <c r="N17" s="18"/>
      <c r="O17" s="18"/>
      <c r="P17" s="18"/>
      <c r="Q17" s="18"/>
      <c r="R17" s="18"/>
    </row>
    <row r="18" spans="2:18" x14ac:dyDescent="0.3">
      <c r="B18" s="443" t="s">
        <v>15</v>
      </c>
      <c r="C18" s="443"/>
      <c r="D18" s="444"/>
      <c r="E18" s="22" t="s">
        <v>135</v>
      </c>
      <c r="F18" s="23" t="s">
        <v>140</v>
      </c>
      <c r="G18" s="11" t="s">
        <v>133</v>
      </c>
      <c r="H18" s="12" t="s">
        <v>19</v>
      </c>
      <c r="I18" s="445" t="s">
        <v>137</v>
      </c>
      <c r="J18" s="446"/>
      <c r="K18" s="445" t="s">
        <v>21</v>
      </c>
      <c r="L18" s="446"/>
    </row>
    <row r="19" spans="2:18" x14ac:dyDescent="0.3">
      <c r="B19" s="24"/>
      <c r="C19" s="24"/>
      <c r="D19" s="25"/>
      <c r="E19" s="26">
        <f>SUM(E20:E25)</f>
        <v>293400000</v>
      </c>
      <c r="F19" s="27">
        <f>SUM(F20:F25)</f>
        <v>274630000</v>
      </c>
      <c r="G19" s="15">
        <f>SUM(G20:G25)</f>
        <v>224418000</v>
      </c>
      <c r="H19" s="16">
        <f>SUM(H20:H24)</f>
        <v>0</v>
      </c>
      <c r="I19" s="28">
        <f t="shared" ref="I19:K19" si="0">SUM(I20:I24)</f>
        <v>168700000</v>
      </c>
      <c r="J19" s="29">
        <f>(I20*J20+I21*J21+I22*J22+I23*J23+I24*J24+I25*J25)/I19</f>
        <v>0.87580172523837718</v>
      </c>
      <c r="K19" s="28">
        <f t="shared" si="0"/>
        <v>137320000</v>
      </c>
      <c r="L19" s="30">
        <f>(K20*L20+K21*L21+K22*L22+K23*L23+K24*L24)/K19</f>
        <v>5.2383192542965334E-2</v>
      </c>
    </row>
    <row r="20" spans="2:18" x14ac:dyDescent="0.3">
      <c r="C20" s="1" t="s">
        <v>22</v>
      </c>
      <c r="D20" s="31"/>
      <c r="E20" s="31">
        <f>ROUND(F20+G20*0.1,-5)</f>
        <v>116300000</v>
      </c>
      <c r="F20" s="32">
        <f>ROUND(G20*1.1,-4)</f>
        <v>106630000</v>
      </c>
      <c r="G20" s="33">
        <v>96936000</v>
      </c>
      <c r="H20" s="34"/>
      <c r="I20" s="35">
        <v>75500000</v>
      </c>
      <c r="J20" s="36">
        <f>I20/G20</f>
        <v>0.77886440538086987</v>
      </c>
      <c r="K20" s="35">
        <v>64770000</v>
      </c>
      <c r="L20" s="37">
        <v>5.5E-2</v>
      </c>
      <c r="M20" s="38" t="s">
        <v>241</v>
      </c>
    </row>
    <row r="21" spans="2:18" x14ac:dyDescent="0.3">
      <c r="C21" s="1" t="s">
        <v>24</v>
      </c>
      <c r="D21" s="31"/>
      <c r="E21" s="31">
        <f>ROUND(F21+G21*0.05,-5)</f>
        <v>31100000</v>
      </c>
      <c r="F21" s="31">
        <v>30000000</v>
      </c>
      <c r="G21" s="39">
        <f>ROUND(95100*240,-3)</f>
        <v>22824000</v>
      </c>
      <c r="H21" s="34"/>
      <c r="I21" s="35">
        <v>13300000</v>
      </c>
      <c r="J21" s="36">
        <f t="shared" ref="J21:J25" si="1">I21/G21</f>
        <v>0.58271994391868209</v>
      </c>
      <c r="K21" s="35">
        <v>9210000</v>
      </c>
      <c r="L21" s="37">
        <v>0.04</v>
      </c>
      <c r="M21" s="38" t="s">
        <v>25</v>
      </c>
    </row>
    <row r="22" spans="2:18" x14ac:dyDescent="0.3">
      <c r="C22" s="1" t="s">
        <v>26</v>
      </c>
      <c r="D22" s="31"/>
      <c r="E22" s="31">
        <f t="shared" ref="E22" si="2">ROUND(F22+G22*0.1,-5)</f>
        <v>80100000</v>
      </c>
      <c r="F22" s="31">
        <v>75000000</v>
      </c>
      <c r="G22" s="39">
        <v>51200000</v>
      </c>
      <c r="H22" s="34"/>
      <c r="I22" s="35">
        <v>46800000</v>
      </c>
      <c r="J22" s="36">
        <f t="shared" si="1"/>
        <v>0.9140625</v>
      </c>
      <c r="K22" s="35">
        <v>40940000</v>
      </c>
      <c r="L22" s="37">
        <v>5.2499999999999998E-2</v>
      </c>
      <c r="M22" s="38" t="s">
        <v>27</v>
      </c>
    </row>
    <row r="23" spans="2:18" x14ac:dyDescent="0.3">
      <c r="C23" s="1" t="s">
        <v>28</v>
      </c>
      <c r="D23" s="31"/>
      <c r="E23" s="31">
        <f>ROUND(F23+G23*0.08,-5)</f>
        <v>52900000</v>
      </c>
      <c r="F23" s="31">
        <v>50000000</v>
      </c>
      <c r="G23" s="39">
        <f>304150*120</f>
        <v>36498000</v>
      </c>
      <c r="H23" s="34"/>
      <c r="I23" s="35">
        <v>28900000</v>
      </c>
      <c r="J23" s="36">
        <f t="shared" si="1"/>
        <v>0.79182420954572852</v>
      </c>
      <c r="K23" s="35">
        <v>19050000</v>
      </c>
      <c r="L23" s="37">
        <v>4.1200000000000001E-2</v>
      </c>
      <c r="M23" s="38" t="s">
        <v>29</v>
      </c>
    </row>
    <row r="24" spans="2:18" x14ac:dyDescent="0.3">
      <c r="C24" s="294" t="s">
        <v>30</v>
      </c>
      <c r="D24" s="295"/>
      <c r="E24" s="296" t="s">
        <v>136</v>
      </c>
      <c r="F24" s="296" t="s">
        <v>136</v>
      </c>
      <c r="G24" s="297">
        <v>3960000</v>
      </c>
      <c r="H24" s="298"/>
      <c r="I24" s="299">
        <v>4200000</v>
      </c>
      <c r="J24" s="300">
        <f t="shared" si="1"/>
        <v>1.0606060606060606</v>
      </c>
      <c r="K24" s="299">
        <v>3350000</v>
      </c>
      <c r="L24" s="301">
        <v>9.8000000000000004E-2</v>
      </c>
      <c r="M24" s="302" t="s">
        <v>31</v>
      </c>
      <c r="N24" s="24"/>
      <c r="O24" s="24"/>
      <c r="P24" s="24"/>
    </row>
    <row r="25" spans="2:18" x14ac:dyDescent="0.3">
      <c r="C25" s="1" t="s">
        <v>32</v>
      </c>
      <c r="D25" s="31"/>
      <c r="E25" s="281">
        <v>13000000</v>
      </c>
      <c r="F25" s="281">
        <v>13000000</v>
      </c>
      <c r="G25" s="42">
        <f>ROUND(54000*240,-6)</f>
        <v>13000000</v>
      </c>
      <c r="H25" s="34"/>
      <c r="I25" s="1">
        <f>ROUND(54000*231,-6)</f>
        <v>12000000</v>
      </c>
      <c r="J25" s="36">
        <f t="shared" si="1"/>
        <v>0.92307692307692313</v>
      </c>
      <c r="L25" s="31"/>
      <c r="M25" s="38" t="s">
        <v>317</v>
      </c>
    </row>
    <row r="26" spans="2:18" x14ac:dyDescent="0.3">
      <c r="E26" s="43">
        <f>E19/F19</f>
        <v>1.0683465025670902</v>
      </c>
      <c r="F26" s="43">
        <v>1</v>
      </c>
      <c r="M26" s="1" t="s">
        <v>318</v>
      </c>
    </row>
    <row r="27" spans="2:18" x14ac:dyDescent="0.3">
      <c r="M27" s="1" t="s">
        <v>319</v>
      </c>
    </row>
    <row r="28" spans="2:18" x14ac:dyDescent="0.3">
      <c r="M28" s="78" t="s">
        <v>320</v>
      </c>
    </row>
    <row r="29" spans="2:18" x14ac:dyDescent="0.3">
      <c r="C29" s="289" t="s">
        <v>339</v>
      </c>
    </row>
    <row r="30" spans="2:18" x14ac:dyDescent="0.3">
      <c r="C30" s="131"/>
      <c r="D30" s="288" t="s">
        <v>340</v>
      </c>
      <c r="E30" s="24"/>
      <c r="F30" s="24"/>
      <c r="G30" s="24"/>
      <c r="M30" s="133"/>
    </row>
    <row r="31" spans="2:18" x14ac:dyDescent="0.3">
      <c r="D31" s="1" t="s">
        <v>326</v>
      </c>
      <c r="G31" s="285">
        <v>5000</v>
      </c>
      <c r="J31" s="303" t="s">
        <v>347</v>
      </c>
      <c r="K31" s="24"/>
      <c r="L31" s="24"/>
      <c r="M31" s="304"/>
      <c r="N31" s="24"/>
      <c r="O31" s="24"/>
    </row>
    <row r="32" spans="2:18" x14ac:dyDescent="0.3">
      <c r="D32" s="1" t="s">
        <v>327</v>
      </c>
      <c r="G32" s="285">
        <v>3000</v>
      </c>
      <c r="J32" s="99" t="s">
        <v>352</v>
      </c>
      <c r="K32" t="s">
        <v>348</v>
      </c>
      <c r="M32" s="133"/>
      <c r="O32" s="285">
        <v>30000</v>
      </c>
    </row>
    <row r="33" spans="4:16" x14ac:dyDescent="0.3">
      <c r="D33" s="1" t="s">
        <v>328</v>
      </c>
      <c r="G33" s="285">
        <v>7000</v>
      </c>
      <c r="J33" s="99"/>
      <c r="K33" t="s">
        <v>349</v>
      </c>
      <c r="M33" s="133"/>
      <c r="N33" s="285"/>
      <c r="O33" s="285">
        <v>30000</v>
      </c>
    </row>
    <row r="34" spans="4:16" x14ac:dyDescent="0.3">
      <c r="D34" s="1" t="s">
        <v>329</v>
      </c>
      <c r="G34" s="285">
        <v>2000</v>
      </c>
      <c r="J34" s="99"/>
      <c r="K34" t="s">
        <v>350</v>
      </c>
      <c r="M34" s="133"/>
      <c r="N34" s="285"/>
      <c r="O34" s="285">
        <v>6000</v>
      </c>
    </row>
    <row r="35" spans="4:16" x14ac:dyDescent="0.3">
      <c r="D35" s="1" t="s">
        <v>329</v>
      </c>
      <c r="G35" s="285">
        <v>2000</v>
      </c>
      <c r="J35" s="306"/>
      <c r="K35" s="305" t="s">
        <v>351</v>
      </c>
      <c r="L35" s="24"/>
      <c r="M35" s="304"/>
      <c r="N35" s="286"/>
      <c r="O35" s="286">
        <v>30000</v>
      </c>
    </row>
    <row r="36" spans="4:16" x14ac:dyDescent="0.3">
      <c r="D36" s="1" t="s">
        <v>332</v>
      </c>
      <c r="G36" s="285">
        <v>1000</v>
      </c>
      <c r="J36" s="99" t="s">
        <v>353</v>
      </c>
      <c r="K36" t="s">
        <v>348</v>
      </c>
      <c r="M36" s="133"/>
      <c r="N36" s="285"/>
      <c r="O36" s="285">
        <v>10000</v>
      </c>
    </row>
    <row r="37" spans="4:16" x14ac:dyDescent="0.3">
      <c r="D37" s="1" t="s">
        <v>330</v>
      </c>
      <c r="G37" s="285">
        <v>3000</v>
      </c>
      <c r="J37" s="99" t="s">
        <v>354</v>
      </c>
      <c r="K37" t="s">
        <v>355</v>
      </c>
      <c r="M37" s="133"/>
      <c r="N37" s="285"/>
      <c r="O37" s="285">
        <v>1000</v>
      </c>
    </row>
    <row r="38" spans="4:16" x14ac:dyDescent="0.3">
      <c r="D38" s="24" t="s">
        <v>331</v>
      </c>
      <c r="E38" s="24"/>
      <c r="F38" s="24"/>
      <c r="G38" s="286">
        <v>500</v>
      </c>
      <c r="J38" s="99"/>
      <c r="K38" t="s">
        <v>356</v>
      </c>
      <c r="M38" s="133"/>
      <c r="N38" s="285"/>
      <c r="O38" s="285">
        <v>10000</v>
      </c>
    </row>
    <row r="39" spans="4:16" x14ac:dyDescent="0.3">
      <c r="D39" s="1" t="s">
        <v>333</v>
      </c>
      <c r="G39" s="285">
        <v>30</v>
      </c>
      <c r="J39" s="306"/>
      <c r="K39" s="305" t="s">
        <v>351</v>
      </c>
      <c r="L39" s="24"/>
      <c r="M39" s="304"/>
      <c r="N39" s="286"/>
      <c r="O39" s="286">
        <v>10000</v>
      </c>
    </row>
    <row r="40" spans="4:16" x14ac:dyDescent="0.3">
      <c r="D40" s="1" t="s">
        <v>337</v>
      </c>
      <c r="G40" s="285">
        <v>5000</v>
      </c>
      <c r="J40" s="99" t="s">
        <v>357</v>
      </c>
      <c r="K40" t="s">
        <v>359</v>
      </c>
      <c r="M40" s="133"/>
      <c r="N40" s="285"/>
      <c r="O40" s="307" t="s">
        <v>362</v>
      </c>
      <c r="P40" s="1" t="s">
        <v>360</v>
      </c>
    </row>
    <row r="41" spans="4:16" x14ac:dyDescent="0.3">
      <c r="D41" s="24" t="s">
        <v>334</v>
      </c>
      <c r="E41" s="24"/>
      <c r="F41" s="24"/>
      <c r="G41" s="286">
        <v>2000</v>
      </c>
      <c r="J41" s="99" t="s">
        <v>358</v>
      </c>
      <c r="M41" s="133"/>
      <c r="N41" s="285"/>
      <c r="O41" s="307" t="s">
        <v>361</v>
      </c>
    </row>
    <row r="42" spans="4:16" x14ac:dyDescent="0.3">
      <c r="D42" s="290" t="s">
        <v>335</v>
      </c>
      <c r="E42" s="290"/>
      <c r="F42" s="290"/>
      <c r="G42" s="291">
        <v>10000</v>
      </c>
      <c r="J42" s="99"/>
      <c r="K42" t="s">
        <v>363</v>
      </c>
      <c r="M42" s="133"/>
      <c r="N42" s="285"/>
      <c r="O42" s="307" t="s">
        <v>364</v>
      </c>
    </row>
    <row r="43" spans="4:16" x14ac:dyDescent="0.3">
      <c r="D43" s="292" t="s">
        <v>336</v>
      </c>
      <c r="E43" s="292"/>
      <c r="F43" s="292"/>
      <c r="G43" s="293">
        <v>50</v>
      </c>
      <c r="J43" s="99"/>
      <c r="K43" t="s">
        <v>365</v>
      </c>
      <c r="M43" s="133"/>
      <c r="N43" s="285"/>
      <c r="O43" s="285">
        <v>100</v>
      </c>
    </row>
    <row r="44" spans="4:16" x14ac:dyDescent="0.3">
      <c r="D44" s="136" t="s">
        <v>338</v>
      </c>
      <c r="E44" s="136"/>
      <c r="F44" s="136"/>
      <c r="G44" s="287">
        <v>1003275</v>
      </c>
      <c r="J44" s="306"/>
      <c r="K44" s="305" t="s">
        <v>366</v>
      </c>
      <c r="L44" s="24"/>
      <c r="M44" s="304"/>
      <c r="N44" s="286"/>
      <c r="O44" s="286">
        <v>500</v>
      </c>
    </row>
    <row r="45" spans="4:16" x14ac:dyDescent="0.3">
      <c r="J45" s="99" t="s">
        <v>367</v>
      </c>
      <c r="K45" t="s">
        <v>369</v>
      </c>
      <c r="M45" s="133"/>
      <c r="N45" s="285"/>
      <c r="O45" s="285">
        <v>3000</v>
      </c>
    </row>
    <row r="46" spans="4:16" x14ac:dyDescent="0.3">
      <c r="J46" s="99"/>
      <c r="K46" t="s">
        <v>370</v>
      </c>
      <c r="M46" s="133"/>
      <c r="O46" s="285">
        <v>100</v>
      </c>
    </row>
    <row r="47" spans="4:16" x14ac:dyDescent="0.3">
      <c r="K47" t="s">
        <v>371</v>
      </c>
      <c r="M47" s="133"/>
      <c r="O47" s="285">
        <v>2000</v>
      </c>
    </row>
    <row r="48" spans="4:16" x14ac:dyDescent="0.3">
      <c r="J48" s="24"/>
      <c r="K48" s="305" t="s">
        <v>368</v>
      </c>
      <c r="L48" s="24"/>
      <c r="M48" s="304"/>
      <c r="N48" s="24"/>
      <c r="O48" s="286">
        <v>700</v>
      </c>
    </row>
    <row r="49" spans="2:18" x14ac:dyDescent="0.3">
      <c r="J49" s="308" t="s">
        <v>372</v>
      </c>
      <c r="K49"/>
      <c r="M49" s="133"/>
      <c r="O49" s="285"/>
    </row>
    <row r="50" spans="2:18" x14ac:dyDescent="0.3">
      <c r="J50" s="69" t="s">
        <v>373</v>
      </c>
      <c r="K50"/>
      <c r="M50" s="133"/>
      <c r="O50" s="285"/>
    </row>
    <row r="51" spans="2:18" x14ac:dyDescent="0.3">
      <c r="K51"/>
      <c r="M51" s="133"/>
      <c r="O51" s="285"/>
    </row>
    <row r="52" spans="2:18" x14ac:dyDescent="0.3">
      <c r="K52"/>
      <c r="M52" s="133"/>
      <c r="O52" s="285"/>
    </row>
    <row r="53" spans="2:18" x14ac:dyDescent="0.3">
      <c r="K53"/>
      <c r="M53" s="133"/>
      <c r="O53" s="285"/>
    </row>
    <row r="54" spans="2:18" x14ac:dyDescent="0.3">
      <c r="B54" s="13" t="s">
        <v>111</v>
      </c>
      <c r="F54" s="17"/>
      <c r="N54" s="18"/>
      <c r="O54" s="18"/>
      <c r="P54" s="18"/>
      <c r="Q54" s="18"/>
      <c r="R54" s="18"/>
    </row>
    <row r="55" spans="2:18" x14ac:dyDescent="0.3">
      <c r="B55" s="443" t="s">
        <v>15</v>
      </c>
      <c r="C55" s="443"/>
      <c r="D55" s="444"/>
      <c r="E55" s="22" t="s">
        <v>16</v>
      </c>
      <c r="F55" s="23" t="s">
        <v>17</v>
      </c>
      <c r="G55" s="11" t="s">
        <v>18</v>
      </c>
      <c r="H55" s="12" t="s">
        <v>19</v>
      </c>
      <c r="I55" s="445" t="s">
        <v>20</v>
      </c>
      <c r="J55" s="446"/>
      <c r="K55" s="445" t="s">
        <v>21</v>
      </c>
      <c r="L55" s="446"/>
    </row>
    <row r="56" spans="2:18" x14ac:dyDescent="0.3">
      <c r="B56" s="24"/>
      <c r="C56" s="24"/>
      <c r="D56" s="25"/>
      <c r="E56" s="139">
        <f>SUM(E57:E62)</f>
        <v>151341965.55365399</v>
      </c>
      <c r="F56" s="27">
        <f>SUM(F57:F62)</f>
        <v>238860000</v>
      </c>
      <c r="G56" s="15">
        <f>SUM(G57:G62)</f>
        <v>238560000</v>
      </c>
      <c r="H56" s="16">
        <f>SUM(H57:H61)</f>
        <v>0</v>
      </c>
      <c r="I56" s="28">
        <f t="shared" ref="I56" si="3">SUM(I57:I61)</f>
        <v>168700000</v>
      </c>
      <c r="J56" s="29">
        <f>(I57*J57+I58*J58+I59*J59+I60*J60+I61*J61+I62*J62)/I56</f>
        <v>0.8427314557550013</v>
      </c>
      <c r="K56" s="28">
        <f t="shared" ref="K56" si="4">SUM(K57:K61)</f>
        <v>137320000</v>
      </c>
      <c r="L56" s="30">
        <f>(K57*L57+K58*L58+K59*L59+K60*L60+K61*L61)/K56</f>
        <v>5.2383192542965334E-2</v>
      </c>
    </row>
    <row r="57" spans="2:18" x14ac:dyDescent="0.3">
      <c r="C57" s="1" t="s">
        <v>22</v>
      </c>
      <c r="D57" s="31"/>
      <c r="E57" s="31"/>
      <c r="F57" s="32">
        <f>ROUND(G57+H57,-6)</f>
        <v>97000000</v>
      </c>
      <c r="G57" s="33">
        <v>96900000</v>
      </c>
      <c r="H57" s="34"/>
      <c r="I57" s="35">
        <v>75500000</v>
      </c>
      <c r="J57" s="36">
        <f>I57/G57</f>
        <v>0.77915376676986581</v>
      </c>
      <c r="K57" s="35">
        <v>64770000</v>
      </c>
      <c r="L57" s="37">
        <v>5.5E-2</v>
      </c>
      <c r="M57" s="38" t="s">
        <v>23</v>
      </c>
    </row>
    <row r="58" spans="2:18" x14ac:dyDescent="0.3">
      <c r="C58" s="1" t="s">
        <v>24</v>
      </c>
      <c r="D58" s="31"/>
      <c r="E58" s="31">
        <f t="shared" ref="E58:E62" si="5">G58*E$26</f>
        <v>28631686.268798016</v>
      </c>
      <c r="F58" s="31">
        <f>ROUND(G58+H58,-6)</f>
        <v>27000000</v>
      </c>
      <c r="G58" s="39">
        <v>26800000</v>
      </c>
      <c r="H58" s="34"/>
      <c r="I58" s="35">
        <v>13300000</v>
      </c>
      <c r="J58" s="36">
        <f t="shared" ref="J58:J62" si="6">I58/G58</f>
        <v>0.4962686567164179</v>
      </c>
      <c r="K58" s="35">
        <v>9210000</v>
      </c>
      <c r="L58" s="37">
        <v>0.04</v>
      </c>
      <c r="M58" s="38" t="s">
        <v>25</v>
      </c>
    </row>
    <row r="59" spans="2:18" x14ac:dyDescent="0.3">
      <c r="C59" s="1" t="s">
        <v>26</v>
      </c>
      <c r="D59" s="31"/>
      <c r="E59" s="31">
        <f t="shared" si="5"/>
        <v>54699340.931435019</v>
      </c>
      <c r="F59" s="31">
        <f t="shared" ref="F59:F61" si="7">G59+H59</f>
        <v>51200000</v>
      </c>
      <c r="G59" s="39">
        <v>51200000</v>
      </c>
      <c r="H59" s="34"/>
      <c r="I59" s="35">
        <v>46800000</v>
      </c>
      <c r="J59" s="36">
        <f t="shared" si="6"/>
        <v>0.9140625</v>
      </c>
      <c r="K59" s="35">
        <v>40940000</v>
      </c>
      <c r="L59" s="37">
        <v>5.2499999999999998E-2</v>
      </c>
      <c r="M59" s="38" t="s">
        <v>27</v>
      </c>
    </row>
    <row r="60" spans="2:18" x14ac:dyDescent="0.3">
      <c r="C60" s="1" t="s">
        <v>28</v>
      </c>
      <c r="D60" s="31"/>
      <c r="E60" s="31">
        <f t="shared" si="5"/>
        <v>50960128.1724502</v>
      </c>
      <c r="F60" s="31">
        <f t="shared" si="7"/>
        <v>47700000</v>
      </c>
      <c r="G60" s="39">
        <f>46800000+450000*2</f>
        <v>47700000</v>
      </c>
      <c r="H60" s="34"/>
      <c r="I60" s="35">
        <v>28900000</v>
      </c>
      <c r="J60" s="36">
        <f t="shared" si="6"/>
        <v>0.6058700209643606</v>
      </c>
      <c r="K60" s="35">
        <v>19050000</v>
      </c>
      <c r="L60" s="37">
        <v>4.1200000000000001E-2</v>
      </c>
      <c r="M60" s="38" t="s">
        <v>29</v>
      </c>
    </row>
    <row r="61" spans="2:18" x14ac:dyDescent="0.3">
      <c r="C61" s="40" t="s">
        <v>30</v>
      </c>
      <c r="D61" s="41"/>
      <c r="E61" s="31">
        <f t="shared" si="5"/>
        <v>4230652.1501656771</v>
      </c>
      <c r="F61" s="31">
        <f t="shared" si="7"/>
        <v>3960000</v>
      </c>
      <c r="G61" s="39">
        <v>3960000</v>
      </c>
      <c r="H61" s="34"/>
      <c r="I61" s="35">
        <v>4200000</v>
      </c>
      <c r="J61" s="36">
        <f t="shared" si="6"/>
        <v>1.0606060606060606</v>
      </c>
      <c r="K61" s="35">
        <v>3350000</v>
      </c>
      <c r="L61" s="37">
        <v>9.8000000000000004E-2</v>
      </c>
      <c r="M61" s="38" t="s">
        <v>31</v>
      </c>
    </row>
    <row r="62" spans="2:18" x14ac:dyDescent="0.3">
      <c r="C62" s="1" t="s">
        <v>32</v>
      </c>
      <c r="D62" s="31"/>
      <c r="E62" s="31">
        <f t="shared" si="5"/>
        <v>12820158.030805083</v>
      </c>
      <c r="F62" s="31">
        <f>G62+H61</f>
        <v>12000000</v>
      </c>
      <c r="G62" s="42">
        <f>ROUND(54000*231,-6)</f>
        <v>12000000</v>
      </c>
      <c r="H62" s="31"/>
      <c r="I62" s="1">
        <f>ROUND(54000*231,-6)</f>
        <v>12000000</v>
      </c>
      <c r="J62" s="36">
        <f t="shared" si="6"/>
        <v>1</v>
      </c>
      <c r="L62" s="31"/>
    </row>
    <row r="63" spans="2:18" x14ac:dyDescent="0.3">
      <c r="E63" s="43">
        <v>1.1499999999999999</v>
      </c>
    </row>
    <row r="75" spans="4:4" x14ac:dyDescent="0.3">
      <c r="D75" s="44"/>
    </row>
  </sheetData>
  <mergeCells count="10">
    <mergeCell ref="B55:D55"/>
    <mergeCell ref="I55:J55"/>
    <mergeCell ref="K55:L55"/>
    <mergeCell ref="K18:L18"/>
    <mergeCell ref="B2:D2"/>
    <mergeCell ref="B5:D5"/>
    <mergeCell ref="B8:D8"/>
    <mergeCell ref="B13:D13"/>
    <mergeCell ref="B18:D18"/>
    <mergeCell ref="I18:J18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FB06-645C-4327-A7F7-7DDFAA8D1719}">
  <dimension ref="B2:J22"/>
  <sheetViews>
    <sheetView zoomScale="110" zoomScaleNormal="110" workbookViewId="0">
      <selection activeCell="B1" sqref="B1"/>
    </sheetView>
  </sheetViews>
  <sheetFormatPr defaultRowHeight="16.5" x14ac:dyDescent="0.3"/>
  <cols>
    <col min="1" max="1" width="1.375" customWidth="1"/>
    <col min="2" max="2" width="24.5" customWidth="1"/>
    <col min="3" max="3" width="14.125" bestFit="1" customWidth="1"/>
    <col min="4" max="4" width="10.375" customWidth="1"/>
    <col min="5" max="5" width="10.75" style="18" customWidth="1"/>
    <col min="6" max="6" width="21.5" customWidth="1"/>
    <col min="7" max="7" width="12.25" customWidth="1"/>
    <col min="8" max="8" width="12.125" customWidth="1"/>
    <col min="9" max="9" width="11.5" customWidth="1"/>
  </cols>
  <sheetData>
    <row r="2" spans="2:10" ht="17.25" x14ac:dyDescent="0.3">
      <c r="B2" s="161" t="s">
        <v>529</v>
      </c>
      <c r="D2" s="420" t="s">
        <v>536</v>
      </c>
    </row>
    <row r="5" spans="2:10" ht="17.25" x14ac:dyDescent="0.3">
      <c r="B5" s="402" t="s">
        <v>512</v>
      </c>
      <c r="C5" s="403">
        <v>3520000</v>
      </c>
      <c r="D5" s="400" t="s">
        <v>513</v>
      </c>
      <c r="E5" s="401"/>
      <c r="F5" s="400"/>
    </row>
    <row r="7" spans="2:10" x14ac:dyDescent="0.3">
      <c r="B7" s="268" t="s">
        <v>502</v>
      </c>
      <c r="C7" s="371">
        <v>4199292</v>
      </c>
    </row>
    <row r="8" spans="2:10" x14ac:dyDescent="0.3">
      <c r="B8" s="268" t="s">
        <v>503</v>
      </c>
      <c r="C8" s="371">
        <v>3952000</v>
      </c>
      <c r="D8" s="372">
        <f>C8/C7</f>
        <v>0.94111102538237401</v>
      </c>
    </row>
    <row r="10" spans="2:10" x14ac:dyDescent="0.3">
      <c r="B10" s="404" t="s">
        <v>501</v>
      </c>
      <c r="C10" s="404" t="s">
        <v>504</v>
      </c>
      <c r="D10" s="405"/>
      <c r="E10" s="406"/>
      <c r="F10" t="s">
        <v>515</v>
      </c>
      <c r="G10" s="18" t="s">
        <v>518</v>
      </c>
      <c r="H10" s="450" t="s">
        <v>521</v>
      </c>
      <c r="I10" s="450"/>
      <c r="J10" s="450"/>
    </row>
    <row r="11" spans="2:10" x14ac:dyDescent="0.3">
      <c r="B11" s="268"/>
      <c r="F11" s="376" t="s">
        <v>517</v>
      </c>
      <c r="G11" s="377">
        <v>0.04</v>
      </c>
      <c r="H11" s="380" t="s">
        <v>519</v>
      </c>
      <c r="I11" s="380" t="s">
        <v>520</v>
      </c>
      <c r="J11" s="381" t="s">
        <v>522</v>
      </c>
    </row>
    <row r="12" spans="2:10" ht="17.25" thickBot="1" x14ac:dyDescent="0.35">
      <c r="B12" s="387" t="s">
        <v>516</v>
      </c>
      <c r="C12" s="388">
        <f>C8</f>
        <v>3952000</v>
      </c>
      <c r="D12" s="389">
        <f>C$5-C12</f>
        <v>-432000</v>
      </c>
      <c r="E12" s="390" t="s">
        <v>511</v>
      </c>
      <c r="F12" s="391">
        <f>2203450*12</f>
        <v>26441400</v>
      </c>
      <c r="G12" s="392"/>
      <c r="H12" s="410">
        <f>C5</f>
        <v>3520000</v>
      </c>
      <c r="I12" s="393">
        <f>H12-C12</f>
        <v>-432000</v>
      </c>
      <c r="J12" s="394" t="s">
        <v>509</v>
      </c>
    </row>
    <row r="13" spans="2:10" x14ac:dyDescent="0.3">
      <c r="B13" s="374" t="s">
        <v>508</v>
      </c>
      <c r="C13" s="373">
        <f>C$7*0.9</f>
        <v>3779362.8000000003</v>
      </c>
      <c r="D13" s="408">
        <f t="shared" ref="D13:D16" si="0">C$5-C13</f>
        <v>-259362.80000000028</v>
      </c>
      <c r="E13" s="375" t="s">
        <v>510</v>
      </c>
      <c r="F13" s="1">
        <f>F12+(2203450*12)</f>
        <v>52882800</v>
      </c>
      <c r="G13" s="1">
        <f>F12*G$11/12</f>
        <v>88138</v>
      </c>
      <c r="H13" s="411">
        <f>C$5-G13</f>
        <v>3431862</v>
      </c>
      <c r="I13" s="378">
        <f>H13-C13</f>
        <v>-347500.80000000028</v>
      </c>
      <c r="J13" s="379" t="s">
        <v>510</v>
      </c>
    </row>
    <row r="14" spans="2:10" ht="17.25" thickBot="1" x14ac:dyDescent="0.35">
      <c r="B14" s="382" t="s">
        <v>505</v>
      </c>
      <c r="C14" s="383">
        <f>C$7*0.866</f>
        <v>3636586.872</v>
      </c>
      <c r="D14" s="409">
        <f t="shared" si="0"/>
        <v>-116586.87199999997</v>
      </c>
      <c r="E14" s="384" t="s">
        <v>510</v>
      </c>
      <c r="F14" s="1">
        <f>F13+(2203450*12)</f>
        <v>79324200</v>
      </c>
      <c r="G14" s="1">
        <f t="shared" ref="G14:G16" si="1">F13*G$11/12</f>
        <v>176276</v>
      </c>
      <c r="H14" s="411">
        <f t="shared" ref="H14:H16" si="2">C$5-G14</f>
        <v>3343724</v>
      </c>
      <c r="I14" s="378">
        <f t="shared" ref="I14:I16" si="3">H14-C14</f>
        <v>-292862.87199999997</v>
      </c>
      <c r="J14" s="379" t="s">
        <v>510</v>
      </c>
    </row>
    <row r="15" spans="2:10" x14ac:dyDescent="0.3">
      <c r="B15" s="374" t="s">
        <v>506</v>
      </c>
      <c r="C15" s="373">
        <f>C$7*0.833</f>
        <v>3498010.236</v>
      </c>
      <c r="D15" s="408">
        <f t="shared" si="0"/>
        <v>21989.763999999966</v>
      </c>
      <c r="E15" s="385" t="s">
        <v>514</v>
      </c>
      <c r="F15" s="1">
        <f t="shared" ref="F15:F16" si="4">F14+(2203450*12)</f>
        <v>105765600</v>
      </c>
      <c r="G15" s="1">
        <f t="shared" si="1"/>
        <v>264414</v>
      </c>
      <c r="H15" s="411">
        <f t="shared" si="2"/>
        <v>3255586</v>
      </c>
      <c r="I15" s="378">
        <f t="shared" si="3"/>
        <v>-242424.23600000003</v>
      </c>
      <c r="J15" s="379" t="s">
        <v>510</v>
      </c>
    </row>
    <row r="16" spans="2:10" ht="17.25" thickBot="1" x14ac:dyDescent="0.35">
      <c r="B16" s="374" t="s">
        <v>507</v>
      </c>
      <c r="C16" s="373">
        <f>C$7*0.8</f>
        <v>3359433.6</v>
      </c>
      <c r="D16" s="408">
        <f t="shared" si="0"/>
        <v>160566.39999999991</v>
      </c>
      <c r="E16" s="386" t="s">
        <v>514</v>
      </c>
      <c r="F16" s="395">
        <f t="shared" si="4"/>
        <v>132207000</v>
      </c>
      <c r="G16" s="391">
        <f t="shared" si="1"/>
        <v>352552</v>
      </c>
      <c r="H16" s="410">
        <f t="shared" si="2"/>
        <v>3167448</v>
      </c>
      <c r="I16" s="393">
        <f t="shared" si="3"/>
        <v>-191985.60000000009</v>
      </c>
      <c r="J16" s="394" t="s">
        <v>510</v>
      </c>
    </row>
    <row r="18" spans="2:10" x14ac:dyDescent="0.3">
      <c r="B18" s="399" t="s">
        <v>530</v>
      </c>
      <c r="J18" s="396" t="s">
        <v>523</v>
      </c>
    </row>
    <row r="19" spans="2:10" x14ac:dyDescent="0.3">
      <c r="B19" s="407" t="s">
        <v>525</v>
      </c>
      <c r="J19" s="397" t="s">
        <v>524</v>
      </c>
    </row>
    <row r="20" spans="2:10" x14ac:dyDescent="0.3">
      <c r="B20" s="407" t="s">
        <v>526</v>
      </c>
      <c r="J20" s="398" t="s">
        <v>528</v>
      </c>
    </row>
    <row r="21" spans="2:10" x14ac:dyDescent="0.3">
      <c r="B21" s="412" t="s">
        <v>531</v>
      </c>
    </row>
    <row r="22" spans="2:10" x14ac:dyDescent="0.3">
      <c r="B22" s="407" t="s">
        <v>527</v>
      </c>
    </row>
  </sheetData>
  <mergeCells count="1">
    <mergeCell ref="H10:J1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0401-6226-4576-B75E-B46ADD6A21A1}">
  <dimension ref="B1:S51"/>
  <sheetViews>
    <sheetView topLeftCell="A4" workbookViewId="0">
      <selection activeCell="D32" sqref="D32"/>
    </sheetView>
  </sheetViews>
  <sheetFormatPr defaultRowHeight="16.5" x14ac:dyDescent="0.3"/>
  <cols>
    <col min="1" max="1" width="1.125" customWidth="1"/>
    <col min="2" max="2" width="11.125" bestFit="1" customWidth="1"/>
    <col min="3" max="3" width="10.125" style="1" customWidth="1"/>
    <col min="4" max="4" width="10.75" style="99" customWidth="1"/>
    <col min="5" max="5" width="9.625" style="1" customWidth="1"/>
    <col min="6" max="6" width="9.375" style="1" customWidth="1"/>
    <col min="7" max="9" width="8.625" style="1"/>
    <col min="10" max="10" width="10.375" style="1" customWidth="1"/>
    <col min="11" max="11" width="9.375" style="99" customWidth="1"/>
    <col min="12" max="13" width="9.625" style="99" customWidth="1"/>
    <col min="14" max="14" width="3.375" style="1" customWidth="1"/>
    <col min="15" max="15" width="18.875" style="1" customWidth="1"/>
    <col min="16" max="16" width="12.75" style="237" customWidth="1"/>
    <col min="17" max="17" width="3.125" customWidth="1"/>
    <col min="18" max="18" width="19.25" bestFit="1" customWidth="1"/>
    <col min="19" max="19" width="11.5" bestFit="1" customWidth="1"/>
  </cols>
  <sheetData>
    <row r="1" spans="2:19" ht="9" customHeight="1" x14ac:dyDescent="0.3"/>
    <row r="2" spans="2:19" ht="17.25" x14ac:dyDescent="0.3">
      <c r="B2" s="161" t="s">
        <v>128</v>
      </c>
      <c r="M2" s="324">
        <f>M5-M3</f>
        <v>-49400</v>
      </c>
      <c r="O2" s="13" t="s">
        <v>413</v>
      </c>
      <c r="P2" s="272">
        <f>P3-S3</f>
        <v>478000</v>
      </c>
    </row>
    <row r="3" spans="2:19" ht="17.25" x14ac:dyDescent="0.3">
      <c r="B3" s="161" t="s">
        <v>409</v>
      </c>
      <c r="L3" s="96" t="s">
        <v>415</v>
      </c>
      <c r="M3" s="323">
        <v>650000</v>
      </c>
      <c r="O3" s="254" t="s">
        <v>412</v>
      </c>
      <c r="P3" s="271">
        <f>P4+S4</f>
        <v>1978000</v>
      </c>
      <c r="R3" s="254" t="s">
        <v>295</v>
      </c>
      <c r="S3" s="271">
        <v>1500000</v>
      </c>
    </row>
    <row r="4" spans="2:19" s="18" customFormat="1" x14ac:dyDescent="0.3">
      <c r="B4" s="166" t="s">
        <v>127</v>
      </c>
      <c r="C4" s="167" t="s">
        <v>411</v>
      </c>
      <c r="D4" s="167" t="s">
        <v>40</v>
      </c>
      <c r="E4" s="168" t="s">
        <v>124</v>
      </c>
      <c r="F4" s="168" t="s">
        <v>125</v>
      </c>
      <c r="G4" s="168" t="s">
        <v>126</v>
      </c>
      <c r="H4" s="168" t="s">
        <v>266</v>
      </c>
      <c r="I4" s="168" t="s">
        <v>122</v>
      </c>
      <c r="J4" s="168" t="s">
        <v>123</v>
      </c>
      <c r="K4" s="167" t="s">
        <v>132</v>
      </c>
      <c r="L4" s="167" t="s">
        <v>131</v>
      </c>
      <c r="M4" s="167" t="s">
        <v>414</v>
      </c>
      <c r="N4" s="99"/>
      <c r="O4" s="239" t="s">
        <v>250</v>
      </c>
      <c r="P4" s="240">
        <f>P5-P10</f>
        <v>1438000</v>
      </c>
      <c r="R4" s="239" t="s">
        <v>250</v>
      </c>
      <c r="S4" s="240">
        <f>S5-S10</f>
        <v>540000</v>
      </c>
    </row>
    <row r="5" spans="2:19" s="18" customFormat="1" x14ac:dyDescent="0.3">
      <c r="B5" s="163" t="s">
        <v>129</v>
      </c>
      <c r="C5" s="164">
        <f>ROUND(SUM(D5:J5),-3)</f>
        <v>698000</v>
      </c>
      <c r="D5" s="164">
        <f>ROUND(AVERAGE(D6:D17),-2)</f>
        <v>536400</v>
      </c>
      <c r="E5" s="165">
        <f t="shared" ref="E5:G5" si="0">ROUND(AVERAGE(E6:E17),-2)</f>
        <v>31700</v>
      </c>
      <c r="F5" s="165">
        <f t="shared" si="0"/>
        <v>28600</v>
      </c>
      <c r="G5" s="165">
        <f t="shared" si="0"/>
        <v>3900</v>
      </c>
      <c r="H5" s="165"/>
      <c r="I5" s="165">
        <f>ROUND(AVERAGE(I6:I17),-2)</f>
        <v>52600</v>
      </c>
      <c r="J5" s="165">
        <f>ROUND(AVERAGE(J6:J17),-2)</f>
        <v>44400</v>
      </c>
      <c r="K5" s="164">
        <f>ROUND(AVERAGE(K6:K17),-2)</f>
        <v>64200</v>
      </c>
      <c r="L5" s="164">
        <f>ROUND(AVERAGE(L6:L17),-2)</f>
        <v>97000</v>
      </c>
      <c r="M5" s="323">
        <f>ROUND(AVERAGE(M6:M17),-2)</f>
        <v>600600</v>
      </c>
      <c r="N5" s="99"/>
      <c r="O5" s="241" t="s">
        <v>289</v>
      </c>
      <c r="P5" s="242">
        <f>SUM(P6:P9)</f>
        <v>3540000</v>
      </c>
      <c r="R5" s="241" t="s">
        <v>290</v>
      </c>
      <c r="S5" s="242">
        <f>SUM(S6:S9)</f>
        <v>1580000</v>
      </c>
    </row>
    <row r="6" spans="2:19" x14ac:dyDescent="0.3">
      <c r="B6" s="319">
        <v>46082</v>
      </c>
      <c r="C6" s="162">
        <f>SUM(D6:J6)</f>
        <v>686890</v>
      </c>
      <c r="D6" s="162">
        <v>521900</v>
      </c>
      <c r="E6" s="99">
        <v>31710</v>
      </c>
      <c r="F6" s="99">
        <v>28600</v>
      </c>
      <c r="G6" s="99">
        <f>18900-15000</f>
        <v>3900</v>
      </c>
      <c r="H6" s="99"/>
      <c r="I6" s="99">
        <v>54450</v>
      </c>
      <c r="J6" s="99">
        <v>46330</v>
      </c>
      <c r="K6" s="162">
        <f>SUM(E6:G6)</f>
        <v>64210</v>
      </c>
      <c r="L6" s="162">
        <f>SUM(I6:J6)</f>
        <v>100780</v>
      </c>
      <c r="M6" s="321">
        <f>C6-L6</f>
        <v>586110</v>
      </c>
      <c r="O6" s="185" t="s">
        <v>39</v>
      </c>
      <c r="P6" s="237">
        <v>1700000</v>
      </c>
      <c r="R6" s="238" t="s">
        <v>116</v>
      </c>
      <c r="S6" s="237">
        <v>280000</v>
      </c>
    </row>
    <row r="7" spans="2:19" x14ac:dyDescent="0.3">
      <c r="B7" s="319">
        <v>46054</v>
      </c>
      <c r="C7" s="162">
        <f t="shared" ref="C7:C16" si="1">SUM(D7:J7)</f>
        <v>746990</v>
      </c>
      <c r="D7" s="162">
        <v>584760</v>
      </c>
      <c r="E7" s="99">
        <v>31700</v>
      </c>
      <c r="F7" s="99">
        <v>28600</v>
      </c>
      <c r="G7" s="99">
        <f t="shared" ref="G7:G17" si="2">18900-15000</f>
        <v>3900</v>
      </c>
      <c r="H7" s="99"/>
      <c r="I7" s="99">
        <v>51700</v>
      </c>
      <c r="J7" s="99">
        <v>46330</v>
      </c>
      <c r="K7" s="162">
        <f t="shared" ref="K7:K17" si="3">SUM(E7:G7)</f>
        <v>64200</v>
      </c>
      <c r="L7" s="162">
        <f t="shared" ref="L7:L17" si="4">SUM(I7:J7)</f>
        <v>98030</v>
      </c>
      <c r="M7" s="321">
        <f t="shared" ref="M7:M17" si="5">C7-L7</f>
        <v>648960</v>
      </c>
      <c r="O7" s="238" t="s">
        <v>116</v>
      </c>
      <c r="P7" s="237">
        <v>140000</v>
      </c>
      <c r="R7" s="238" t="s">
        <v>101</v>
      </c>
      <c r="S7" s="237">
        <v>500000</v>
      </c>
    </row>
    <row r="8" spans="2:19" x14ac:dyDescent="0.3">
      <c r="B8" s="319">
        <v>46023</v>
      </c>
      <c r="C8" s="162">
        <f t="shared" si="1"/>
        <v>726690</v>
      </c>
      <c r="D8" s="162">
        <v>564460</v>
      </c>
      <c r="E8" s="99">
        <v>31700</v>
      </c>
      <c r="F8" s="99">
        <v>28600</v>
      </c>
      <c r="G8" s="99">
        <f t="shared" si="2"/>
        <v>3900</v>
      </c>
      <c r="H8" s="99"/>
      <c r="I8" s="99">
        <v>51700</v>
      </c>
      <c r="J8" s="99">
        <v>46330</v>
      </c>
      <c r="K8" s="162">
        <f t="shared" si="3"/>
        <v>64200</v>
      </c>
      <c r="L8" s="162">
        <f t="shared" si="4"/>
        <v>98030</v>
      </c>
      <c r="M8" s="321">
        <f t="shared" si="5"/>
        <v>628660</v>
      </c>
      <c r="O8" s="238" t="s">
        <v>71</v>
      </c>
      <c r="P8" s="237">
        <v>2200000</v>
      </c>
      <c r="R8" s="238" t="s">
        <v>92</v>
      </c>
      <c r="S8" s="237">
        <v>300000</v>
      </c>
    </row>
    <row r="9" spans="2:19" x14ac:dyDescent="0.3">
      <c r="B9" s="319">
        <v>45992</v>
      </c>
      <c r="C9" s="162">
        <f t="shared" si="1"/>
        <v>680970</v>
      </c>
      <c r="D9" s="162">
        <v>518740</v>
      </c>
      <c r="E9" s="99">
        <v>31700</v>
      </c>
      <c r="F9" s="99">
        <v>28600</v>
      </c>
      <c r="G9" s="99">
        <f t="shared" si="2"/>
        <v>3900</v>
      </c>
      <c r="H9" s="99"/>
      <c r="I9" s="99">
        <v>51700</v>
      </c>
      <c r="J9" s="99">
        <v>46330</v>
      </c>
      <c r="K9" s="162">
        <f t="shared" si="3"/>
        <v>64200</v>
      </c>
      <c r="L9" s="162">
        <f t="shared" si="4"/>
        <v>98030</v>
      </c>
      <c r="M9" s="321">
        <f t="shared" si="5"/>
        <v>582940</v>
      </c>
      <c r="O9" s="273" t="s">
        <v>292</v>
      </c>
      <c r="P9" s="274">
        <v>-500000</v>
      </c>
      <c r="R9" s="273" t="s">
        <v>291</v>
      </c>
      <c r="S9" s="274">
        <f>-P9</f>
        <v>500000</v>
      </c>
    </row>
    <row r="10" spans="2:19" x14ac:dyDescent="0.3">
      <c r="B10" s="319">
        <v>45962</v>
      </c>
      <c r="C10" s="162">
        <f t="shared" si="1"/>
        <v>622260</v>
      </c>
      <c r="D10" s="162">
        <v>460030</v>
      </c>
      <c r="E10" s="99">
        <v>31700</v>
      </c>
      <c r="F10" s="99">
        <v>28600</v>
      </c>
      <c r="G10" s="99">
        <f t="shared" si="2"/>
        <v>3900</v>
      </c>
      <c r="H10" s="99"/>
      <c r="I10" s="99">
        <v>51700</v>
      </c>
      <c r="J10" s="99">
        <v>46330</v>
      </c>
      <c r="K10" s="162">
        <f t="shared" si="3"/>
        <v>64200</v>
      </c>
      <c r="L10" s="162">
        <f t="shared" si="4"/>
        <v>98030</v>
      </c>
      <c r="M10" s="321">
        <f t="shared" si="5"/>
        <v>524230</v>
      </c>
      <c r="O10" s="241" t="s">
        <v>242</v>
      </c>
      <c r="P10" s="242">
        <f>SUM(P11:P19)</f>
        <v>2102000</v>
      </c>
      <c r="R10" s="241" t="s">
        <v>251</v>
      </c>
      <c r="S10" s="242">
        <f>SUM(S11:S13)</f>
        <v>1040000</v>
      </c>
    </row>
    <row r="11" spans="2:19" x14ac:dyDescent="0.3">
      <c r="B11" s="319">
        <v>45931</v>
      </c>
      <c r="C11" s="162">
        <f t="shared" si="1"/>
        <v>650850</v>
      </c>
      <c r="D11" s="162">
        <v>482890</v>
      </c>
      <c r="E11" s="99">
        <v>31700</v>
      </c>
      <c r="F11" s="99">
        <v>28600</v>
      </c>
      <c r="G11" s="99">
        <f t="shared" si="2"/>
        <v>3900</v>
      </c>
      <c r="H11" s="99"/>
      <c r="I11" s="99">
        <v>57200</v>
      </c>
      <c r="J11" s="99">
        <v>46560</v>
      </c>
      <c r="K11" s="162">
        <f t="shared" si="3"/>
        <v>64200</v>
      </c>
      <c r="L11" s="162">
        <f t="shared" si="4"/>
        <v>103760</v>
      </c>
      <c r="M11" s="321">
        <f t="shared" si="5"/>
        <v>547090</v>
      </c>
      <c r="O11" s="238" t="s">
        <v>247</v>
      </c>
      <c r="P11" s="237">
        <v>750000</v>
      </c>
      <c r="R11" s="238" t="s">
        <v>252</v>
      </c>
      <c r="S11" s="237">
        <v>400000</v>
      </c>
    </row>
    <row r="12" spans="2:19" x14ac:dyDescent="0.3">
      <c r="B12" s="319">
        <v>45901</v>
      </c>
      <c r="C12" s="162">
        <f t="shared" si="1"/>
        <v>864760</v>
      </c>
      <c r="D12" s="343">
        <v>725930</v>
      </c>
      <c r="E12" s="99">
        <v>31700</v>
      </c>
      <c r="F12" s="99">
        <v>28600</v>
      </c>
      <c r="G12" s="99">
        <f t="shared" si="2"/>
        <v>3900</v>
      </c>
      <c r="H12" s="99"/>
      <c r="I12" s="99">
        <v>51700</v>
      </c>
      <c r="J12" s="99">
        <v>22930</v>
      </c>
      <c r="K12" s="162">
        <f t="shared" si="3"/>
        <v>64200</v>
      </c>
      <c r="L12" s="162">
        <f t="shared" si="4"/>
        <v>74630</v>
      </c>
      <c r="M12" s="321">
        <f t="shared" si="5"/>
        <v>790130</v>
      </c>
      <c r="O12" s="238" t="s">
        <v>46</v>
      </c>
      <c r="P12" s="237">
        <f>30000+370000</f>
        <v>400000</v>
      </c>
      <c r="R12" s="238" t="s">
        <v>253</v>
      </c>
      <c r="S12" s="237">
        <v>520000</v>
      </c>
    </row>
    <row r="13" spans="2:19" x14ac:dyDescent="0.3">
      <c r="B13" s="319">
        <v>45870</v>
      </c>
      <c r="C13" s="162">
        <f t="shared" si="1"/>
        <v>780650</v>
      </c>
      <c r="D13" s="343">
        <v>618420</v>
      </c>
      <c r="E13" s="99">
        <v>31700</v>
      </c>
      <c r="F13" s="99">
        <v>28600</v>
      </c>
      <c r="G13" s="99">
        <f t="shared" si="2"/>
        <v>3900</v>
      </c>
      <c r="H13" s="99"/>
      <c r="I13" s="99">
        <v>51700</v>
      </c>
      <c r="J13" s="99">
        <v>46330</v>
      </c>
      <c r="K13" s="162">
        <f t="shared" si="3"/>
        <v>64200</v>
      </c>
      <c r="L13" s="162">
        <f t="shared" si="4"/>
        <v>98030</v>
      </c>
      <c r="M13" s="321">
        <f t="shared" si="5"/>
        <v>682620</v>
      </c>
      <c r="O13" s="238" t="s">
        <v>243</v>
      </c>
      <c r="P13" s="237">
        <v>32000</v>
      </c>
      <c r="R13" s="238" t="s">
        <v>119</v>
      </c>
      <c r="S13" s="237">
        <v>120000</v>
      </c>
    </row>
    <row r="14" spans="2:19" x14ac:dyDescent="0.3">
      <c r="B14" s="319">
        <v>45839</v>
      </c>
      <c r="C14" s="162">
        <f t="shared" si="1"/>
        <v>593580</v>
      </c>
      <c r="D14" s="162">
        <v>431350</v>
      </c>
      <c r="E14" s="99">
        <v>31700</v>
      </c>
      <c r="F14" s="99">
        <v>28600</v>
      </c>
      <c r="G14" s="99">
        <f t="shared" si="2"/>
        <v>3900</v>
      </c>
      <c r="H14" s="99"/>
      <c r="I14" s="99">
        <v>51700</v>
      </c>
      <c r="J14" s="99">
        <v>46330</v>
      </c>
      <c r="K14" s="162">
        <f t="shared" si="3"/>
        <v>64200</v>
      </c>
      <c r="L14" s="162">
        <f t="shared" si="4"/>
        <v>98030</v>
      </c>
      <c r="M14" s="321">
        <f t="shared" si="5"/>
        <v>495550</v>
      </c>
      <c r="O14" s="238" t="s">
        <v>244</v>
      </c>
      <c r="P14" s="237">
        <v>60000</v>
      </c>
    </row>
    <row r="15" spans="2:19" x14ac:dyDescent="0.3">
      <c r="B15" s="319">
        <v>45809</v>
      </c>
      <c r="C15" s="162">
        <f t="shared" si="1"/>
        <v>632780</v>
      </c>
      <c r="D15" s="162">
        <v>467800</v>
      </c>
      <c r="E15" s="99">
        <v>31700</v>
      </c>
      <c r="F15" s="99">
        <v>28600</v>
      </c>
      <c r="G15" s="99">
        <f t="shared" si="2"/>
        <v>3900</v>
      </c>
      <c r="H15" s="99"/>
      <c r="I15" s="99">
        <v>54450</v>
      </c>
      <c r="J15" s="99">
        <v>46330</v>
      </c>
      <c r="K15" s="162">
        <f t="shared" si="3"/>
        <v>64200</v>
      </c>
      <c r="L15" s="162">
        <f t="shared" si="4"/>
        <v>100780</v>
      </c>
      <c r="M15" s="321">
        <f t="shared" si="5"/>
        <v>532000</v>
      </c>
      <c r="O15" s="238" t="s">
        <v>245</v>
      </c>
      <c r="P15" s="237">
        <v>20000</v>
      </c>
    </row>
    <row r="16" spans="2:19" x14ac:dyDescent="0.3">
      <c r="B16" s="319">
        <v>45778</v>
      </c>
      <c r="C16" s="162">
        <f t="shared" si="1"/>
        <v>659360</v>
      </c>
      <c r="D16" s="162">
        <v>497130</v>
      </c>
      <c r="E16" s="99">
        <v>31700</v>
      </c>
      <c r="F16" s="99">
        <v>28600</v>
      </c>
      <c r="G16" s="99">
        <f t="shared" si="2"/>
        <v>3900</v>
      </c>
      <c r="H16" s="99"/>
      <c r="I16" s="99">
        <v>51700</v>
      </c>
      <c r="J16" s="99">
        <v>46330</v>
      </c>
      <c r="K16" s="162">
        <f t="shared" si="3"/>
        <v>64200</v>
      </c>
      <c r="L16" s="162">
        <f t="shared" si="4"/>
        <v>98030</v>
      </c>
      <c r="M16" s="321">
        <f t="shared" si="5"/>
        <v>561330</v>
      </c>
      <c r="O16" s="1" t="s">
        <v>293</v>
      </c>
      <c r="P16" s="237">
        <f>ROUND((600000+400000+4500000+1000000)/12+300000,-4)</f>
        <v>840000</v>
      </c>
      <c r="Q16" t="s">
        <v>294</v>
      </c>
    </row>
    <row r="17" spans="2:17" x14ac:dyDescent="0.3">
      <c r="B17" s="320">
        <v>45748</v>
      </c>
      <c r="C17" s="178">
        <f>SUM(D17:J17)</f>
        <v>725160</v>
      </c>
      <c r="D17" s="178">
        <v>562930</v>
      </c>
      <c r="E17" s="306">
        <v>31700</v>
      </c>
      <c r="F17" s="306">
        <v>28600</v>
      </c>
      <c r="G17" s="306">
        <f t="shared" si="2"/>
        <v>3900</v>
      </c>
      <c r="H17" s="306"/>
      <c r="I17" s="306">
        <v>51700</v>
      </c>
      <c r="J17" s="306">
        <v>46330</v>
      </c>
      <c r="K17" s="178">
        <f t="shared" si="3"/>
        <v>64200</v>
      </c>
      <c r="L17" s="178">
        <f t="shared" si="4"/>
        <v>98030</v>
      </c>
      <c r="M17" s="322">
        <f t="shared" si="5"/>
        <v>627130</v>
      </c>
      <c r="O17" s="243" t="s">
        <v>256</v>
      </c>
      <c r="P17" s="244">
        <v>0</v>
      </c>
    </row>
    <row r="18" spans="2:17" x14ac:dyDescent="0.3">
      <c r="C18"/>
      <c r="D18"/>
      <c r="E18"/>
      <c r="F18"/>
      <c r="G18"/>
      <c r="H18" s="99"/>
      <c r="I18" s="99"/>
      <c r="J18" s="99"/>
      <c r="M18"/>
      <c r="O18" s="238" t="s">
        <v>246</v>
      </c>
      <c r="P18" s="237">
        <f>54000*0</f>
        <v>0</v>
      </c>
      <c r="Q18" t="s">
        <v>248</v>
      </c>
    </row>
    <row r="19" spans="2:17" x14ac:dyDescent="0.3">
      <c r="B19" s="251" t="s">
        <v>267</v>
      </c>
      <c r="C19" s="249"/>
      <c r="D19" s="252"/>
      <c r="E19" s="252">
        <v>31700</v>
      </c>
      <c r="F19" s="252">
        <v>28600</v>
      </c>
      <c r="G19" s="252">
        <f>18900-15000</f>
        <v>3900</v>
      </c>
      <c r="H19" s="252">
        <v>17280</v>
      </c>
      <c r="I19" s="252">
        <v>38680</v>
      </c>
      <c r="J19" s="252">
        <v>31230</v>
      </c>
      <c r="K19" s="252">
        <f>SUM(E19:H19)</f>
        <v>81480</v>
      </c>
      <c r="L19" s="252">
        <f>SUM(I19:J19)</f>
        <v>69910</v>
      </c>
      <c r="M19"/>
      <c r="O19" s="238" t="s">
        <v>64</v>
      </c>
      <c r="P19" s="237">
        <f>120000*0</f>
        <v>0</v>
      </c>
      <c r="Q19" t="s">
        <v>249</v>
      </c>
    </row>
    <row r="20" spans="2:17" x14ac:dyDescent="0.3">
      <c r="K20" s="99">
        <f>K19-K17</f>
        <v>17280</v>
      </c>
      <c r="L20" s="99">
        <f>L19-L17</f>
        <v>-28120</v>
      </c>
      <c r="M20" s="1"/>
    </row>
    <row r="21" spans="2:17" x14ac:dyDescent="0.3">
      <c r="M21" s="1"/>
    </row>
    <row r="22" spans="2:17" x14ac:dyDescent="0.3">
      <c r="I22" s="1">
        <f>I28+12000</f>
        <v>31800</v>
      </c>
      <c r="M22" s="324">
        <f>M25-M23</f>
        <v>-65465</v>
      </c>
    </row>
    <row r="23" spans="2:17" ht="17.25" x14ac:dyDescent="0.3">
      <c r="B23" s="161" t="s">
        <v>410</v>
      </c>
      <c r="L23" s="96" t="s">
        <v>415</v>
      </c>
      <c r="M23" s="323">
        <v>650000</v>
      </c>
    </row>
    <row r="24" spans="2:17" x14ac:dyDescent="0.3">
      <c r="B24" s="166" t="s">
        <v>127</v>
      </c>
      <c r="C24" s="167" t="s">
        <v>411</v>
      </c>
      <c r="D24" s="167" t="s">
        <v>40</v>
      </c>
      <c r="E24" s="168" t="s">
        <v>124</v>
      </c>
      <c r="F24" s="168" t="s">
        <v>125</v>
      </c>
      <c r="G24" s="168" t="s">
        <v>126</v>
      </c>
      <c r="H24" s="168" t="s">
        <v>266</v>
      </c>
      <c r="I24" s="168" t="s">
        <v>122</v>
      </c>
      <c r="J24" s="168" t="s">
        <v>123</v>
      </c>
      <c r="K24" s="167" t="s">
        <v>132</v>
      </c>
      <c r="L24" s="167" t="s">
        <v>131</v>
      </c>
      <c r="M24" s="167" t="s">
        <v>414</v>
      </c>
      <c r="N24" s="99"/>
    </row>
    <row r="25" spans="2:17" x14ac:dyDescent="0.3">
      <c r="B25" s="163" t="s">
        <v>129</v>
      </c>
      <c r="C25" s="164">
        <f>SUM(C26:C37)/COUNT(C26:C37)</f>
        <v>646611.66666666663</v>
      </c>
      <c r="D25" s="164">
        <f t="shared" ref="D25:M25" si="6">SUM(D26:D37)/COUNT(D26:D37)</f>
        <v>507398.33333333331</v>
      </c>
      <c r="E25" s="165">
        <f t="shared" si="6"/>
        <v>31706.666666666668</v>
      </c>
      <c r="F25" s="165">
        <f t="shared" si="6"/>
        <v>28600</v>
      </c>
      <c r="G25" s="165">
        <f t="shared" si="6"/>
        <v>3900</v>
      </c>
      <c r="H25" s="165">
        <f t="shared" si="6"/>
        <v>19395</v>
      </c>
      <c r="I25" s="165">
        <f t="shared" si="6"/>
        <v>28250</v>
      </c>
      <c r="J25" s="165">
        <f t="shared" si="6"/>
        <v>33826.666666666664</v>
      </c>
      <c r="K25" s="164">
        <f t="shared" si="6"/>
        <v>77136.666666666672</v>
      </c>
      <c r="L25" s="164">
        <f t="shared" si="6"/>
        <v>62076.666666666664</v>
      </c>
      <c r="M25" s="323">
        <f t="shared" si="6"/>
        <v>584535</v>
      </c>
      <c r="N25" s="99"/>
    </row>
    <row r="26" spans="2:17" x14ac:dyDescent="0.3">
      <c r="B26" s="318">
        <v>46113</v>
      </c>
      <c r="C26" s="162">
        <f>SUM(D26:J26)</f>
        <v>673660</v>
      </c>
      <c r="D26" s="162">
        <v>514420</v>
      </c>
      <c r="E26" s="99">
        <v>31710</v>
      </c>
      <c r="F26" s="99">
        <v>28600</v>
      </c>
      <c r="G26" s="99">
        <f t="shared" ref="G26:G31" si="7">18900-15000</f>
        <v>3900</v>
      </c>
      <c r="H26" s="99"/>
      <c r="I26" s="99">
        <v>51700</v>
      </c>
      <c r="J26" s="99">
        <f>46330-3000</f>
        <v>43330</v>
      </c>
      <c r="K26" s="162">
        <f>SUM(E26:H26)</f>
        <v>64210</v>
      </c>
      <c r="L26" s="162">
        <f>SUM(I26:J26)</f>
        <v>95030</v>
      </c>
      <c r="M26" s="321">
        <f t="shared" ref="M26:M29" si="8">C26-L26</f>
        <v>578630</v>
      </c>
    </row>
    <row r="27" spans="2:17" x14ac:dyDescent="0.3">
      <c r="B27" s="319">
        <v>46143</v>
      </c>
      <c r="C27" s="162">
        <f t="shared" ref="C27:C31" si="9">SUM(D27:J27)</f>
        <v>673320</v>
      </c>
      <c r="D27" s="162">
        <v>536290</v>
      </c>
      <c r="E27" s="99">
        <v>31700</v>
      </c>
      <c r="F27" s="99">
        <v>28600</v>
      </c>
      <c r="G27" s="99">
        <f t="shared" si="7"/>
        <v>3900</v>
      </c>
      <c r="H27" s="99"/>
      <c r="I27" s="99">
        <v>38600</v>
      </c>
      <c r="J27" s="99">
        <v>34230</v>
      </c>
      <c r="K27" s="162">
        <f t="shared" ref="K27:K29" si="10">SUM(E27:H27)</f>
        <v>64200</v>
      </c>
      <c r="L27" s="162">
        <f t="shared" ref="L27:L28" si="11">SUM(I27:J27)</f>
        <v>72830</v>
      </c>
      <c r="M27" s="321">
        <f t="shared" si="8"/>
        <v>600490</v>
      </c>
    </row>
    <row r="28" spans="2:17" x14ac:dyDescent="0.3">
      <c r="B28" s="318">
        <v>46174</v>
      </c>
      <c r="C28" s="162">
        <f t="shared" si="9"/>
        <v>571320</v>
      </c>
      <c r="D28" s="162">
        <v>438690</v>
      </c>
      <c r="E28" s="99">
        <v>31700</v>
      </c>
      <c r="F28" s="99">
        <v>28600</v>
      </c>
      <c r="G28" s="99">
        <f t="shared" si="7"/>
        <v>3900</v>
      </c>
      <c r="H28" s="325">
        <v>17280</v>
      </c>
      <c r="I28" s="203">
        <v>19800</v>
      </c>
      <c r="J28" s="203">
        <f>34350-3000</f>
        <v>31350</v>
      </c>
      <c r="K28" s="162">
        <f t="shared" si="10"/>
        <v>81480</v>
      </c>
      <c r="L28" s="162">
        <f t="shared" si="11"/>
        <v>51150</v>
      </c>
      <c r="M28" s="321">
        <f t="shared" si="8"/>
        <v>520170</v>
      </c>
    </row>
    <row r="29" spans="2:17" x14ac:dyDescent="0.3">
      <c r="B29" s="319">
        <v>46204</v>
      </c>
      <c r="C29" s="162">
        <f t="shared" si="9"/>
        <v>551370</v>
      </c>
      <c r="D29" s="162">
        <v>415910</v>
      </c>
      <c r="E29" s="99">
        <v>31710</v>
      </c>
      <c r="F29" s="99">
        <v>28600</v>
      </c>
      <c r="G29" s="99">
        <f t="shared" si="7"/>
        <v>3900</v>
      </c>
      <c r="H29" s="325">
        <v>20100</v>
      </c>
      <c r="I29" s="203">
        <v>19800</v>
      </c>
      <c r="J29" s="203">
        <f>34350-3000</f>
        <v>31350</v>
      </c>
      <c r="K29" s="162">
        <f t="shared" si="10"/>
        <v>84310</v>
      </c>
      <c r="L29" s="162">
        <f t="shared" ref="L29" si="12">SUM(I29:J29)</f>
        <v>51150</v>
      </c>
      <c r="M29" s="321">
        <f t="shared" si="8"/>
        <v>500220</v>
      </c>
    </row>
    <row r="30" spans="2:17" x14ac:dyDescent="0.3">
      <c r="B30" s="318">
        <v>46235</v>
      </c>
      <c r="C30" s="162">
        <f t="shared" si="9"/>
        <v>654020</v>
      </c>
      <c r="D30" s="343">
        <v>518560</v>
      </c>
      <c r="E30" s="99">
        <v>31710</v>
      </c>
      <c r="F30" s="99">
        <v>28600</v>
      </c>
      <c r="G30" s="99">
        <f t="shared" si="7"/>
        <v>3900</v>
      </c>
      <c r="H30" s="325">
        <v>20100</v>
      </c>
      <c r="I30" s="203">
        <v>19800</v>
      </c>
      <c r="J30" s="203">
        <f>34350-3000</f>
        <v>31350</v>
      </c>
      <c r="K30" s="162">
        <f t="shared" ref="K30" si="13">SUM(E30:H30)</f>
        <v>84310</v>
      </c>
      <c r="L30" s="162">
        <f t="shared" ref="L30" si="14">SUM(I30:J30)</f>
        <v>51150</v>
      </c>
      <c r="M30" s="321">
        <f t="shared" ref="M30" si="15">C30-L30</f>
        <v>602870</v>
      </c>
      <c r="N30" s="1" t="s">
        <v>495</v>
      </c>
    </row>
    <row r="31" spans="2:17" x14ac:dyDescent="0.3">
      <c r="B31" s="319">
        <v>46266</v>
      </c>
      <c r="C31" s="162">
        <f t="shared" si="9"/>
        <v>755980</v>
      </c>
      <c r="D31" s="343">
        <v>620520</v>
      </c>
      <c r="E31" s="99">
        <v>31710</v>
      </c>
      <c r="F31" s="99">
        <v>28600</v>
      </c>
      <c r="G31" s="99">
        <f t="shared" si="7"/>
        <v>3900</v>
      </c>
      <c r="H31" s="325">
        <v>20100</v>
      </c>
      <c r="I31" s="203">
        <v>19800</v>
      </c>
      <c r="J31" s="203">
        <f>34350-3000</f>
        <v>31350</v>
      </c>
      <c r="K31" s="162">
        <f t="shared" ref="K31" si="16">SUM(E31:H31)</f>
        <v>84310</v>
      </c>
      <c r="L31" s="162">
        <f t="shared" ref="L31" si="17">SUM(I31:J31)</f>
        <v>51150</v>
      </c>
      <c r="M31" s="321">
        <f t="shared" ref="M31" si="18">C31-L31</f>
        <v>704830</v>
      </c>
    </row>
    <row r="32" spans="2:17" x14ac:dyDescent="0.3">
      <c r="B32" s="318">
        <v>46296</v>
      </c>
      <c r="C32" s="162"/>
      <c r="D32" s="162"/>
      <c r="E32" s="99"/>
      <c r="F32" s="99"/>
      <c r="G32" s="99"/>
      <c r="H32" s="99"/>
      <c r="I32" s="99"/>
      <c r="J32" s="99"/>
      <c r="K32" s="162"/>
      <c r="L32" s="162"/>
      <c r="M32" s="162"/>
    </row>
    <row r="33" spans="2:13" x14ac:dyDescent="0.3">
      <c r="B33" s="319">
        <v>46327</v>
      </c>
      <c r="C33" s="162"/>
      <c r="D33" s="162"/>
      <c r="E33" s="99"/>
      <c r="F33" s="99"/>
      <c r="G33" s="99"/>
      <c r="H33" s="99"/>
      <c r="I33" s="99"/>
      <c r="J33" s="99"/>
      <c r="K33" s="162"/>
      <c r="L33" s="162"/>
      <c r="M33" s="162"/>
    </row>
    <row r="34" spans="2:13" x14ac:dyDescent="0.3">
      <c r="B34" s="318">
        <v>46357</v>
      </c>
      <c r="C34" s="162"/>
      <c r="D34" s="162"/>
      <c r="E34" s="99"/>
      <c r="F34" s="99"/>
      <c r="G34" s="99"/>
      <c r="H34" s="99"/>
      <c r="I34" s="99"/>
      <c r="J34" s="99"/>
      <c r="K34" s="162"/>
      <c r="L34" s="162"/>
      <c r="M34" s="162"/>
    </row>
    <row r="35" spans="2:13" x14ac:dyDescent="0.3">
      <c r="B35" s="319">
        <v>46388</v>
      </c>
      <c r="C35" s="162"/>
      <c r="D35" s="162"/>
      <c r="E35" s="99"/>
      <c r="F35" s="99"/>
      <c r="G35" s="99"/>
      <c r="H35" s="99"/>
      <c r="I35" s="99"/>
      <c r="J35" s="99"/>
      <c r="K35" s="162"/>
      <c r="L35" s="162"/>
      <c r="M35" s="162"/>
    </row>
    <row r="36" spans="2:13" x14ac:dyDescent="0.3">
      <c r="B36" s="318">
        <v>46419</v>
      </c>
      <c r="C36" s="162"/>
      <c r="D36" s="162"/>
      <c r="E36" s="99"/>
      <c r="F36" s="99"/>
      <c r="G36" s="99"/>
      <c r="H36" s="99"/>
      <c r="I36" s="99"/>
      <c r="J36" s="99"/>
      <c r="K36" s="162"/>
      <c r="L36" s="162"/>
      <c r="M36" s="162"/>
    </row>
    <row r="37" spans="2:13" x14ac:dyDescent="0.3">
      <c r="B37" s="320">
        <v>46447</v>
      </c>
      <c r="C37" s="178"/>
      <c r="D37" s="178"/>
      <c r="E37" s="306"/>
      <c r="F37" s="306"/>
      <c r="G37" s="306"/>
      <c r="H37" s="306"/>
      <c r="I37" s="306"/>
      <c r="J37" s="306"/>
      <c r="K37" s="178"/>
      <c r="L37" s="178"/>
      <c r="M37" s="178"/>
    </row>
    <row r="42" spans="2:13" x14ac:dyDescent="0.3">
      <c r="B42" s="268" t="s">
        <v>408</v>
      </c>
      <c r="H42" s="268" t="s">
        <v>288</v>
      </c>
      <c r="J42" s="99"/>
      <c r="K42" s="1"/>
      <c r="L42" s="1"/>
      <c r="M42" s="1"/>
    </row>
    <row r="43" spans="2:13" x14ac:dyDescent="0.3">
      <c r="B43" s="262"/>
      <c r="C43" s="167" t="s">
        <v>282</v>
      </c>
      <c r="D43" s="167" t="s">
        <v>284</v>
      </c>
      <c r="E43" s="167" t="s">
        <v>283</v>
      </c>
      <c r="F43" s="167" t="s">
        <v>287</v>
      </c>
      <c r="H43" s="262"/>
      <c r="I43" s="167" t="s">
        <v>282</v>
      </c>
      <c r="J43" s="167" t="s">
        <v>284</v>
      </c>
      <c r="K43" s="167" t="s">
        <v>283</v>
      </c>
      <c r="L43" s="1"/>
      <c r="M43" s="1"/>
    </row>
    <row r="44" spans="2:13" x14ac:dyDescent="0.3">
      <c r="B44" s="266" t="s">
        <v>286</v>
      </c>
      <c r="C44" s="267"/>
      <c r="D44" s="10">
        <f>D45*30</f>
        <v>-52500</v>
      </c>
      <c r="E44" s="267">
        <f t="shared" ref="E44:F44" si="19">E45*30</f>
        <v>225000</v>
      </c>
      <c r="F44" s="12">
        <f t="shared" si="19"/>
        <v>277500</v>
      </c>
      <c r="H44" s="266" t="s">
        <v>286</v>
      </c>
      <c r="I44" s="267"/>
      <c r="J44" s="10">
        <f>J45*30</f>
        <v>-187500</v>
      </c>
      <c r="K44" s="267">
        <f t="shared" ref="K44" si="20">K45*30</f>
        <v>90000</v>
      </c>
      <c r="L44" s="1"/>
      <c r="M44" s="1"/>
    </row>
    <row r="45" spans="2:13" ht="17.25" thickBot="1" x14ac:dyDescent="0.35">
      <c r="B45" s="264" t="s">
        <v>285</v>
      </c>
      <c r="C45" s="265"/>
      <c r="D45" s="265">
        <f>SUM(D46:D48)</f>
        <v>-1750</v>
      </c>
      <c r="E45" s="265">
        <f>SUM(E46:E48)</f>
        <v>7500</v>
      </c>
      <c r="F45" s="265">
        <f>SUM(F46:F48)</f>
        <v>9250</v>
      </c>
      <c r="H45" s="264" t="s">
        <v>285</v>
      </c>
      <c r="I45" s="265"/>
      <c r="J45" s="265">
        <f>SUM(J46:J48)</f>
        <v>-6250</v>
      </c>
      <c r="K45" s="265">
        <f>SUM(K46:K48)</f>
        <v>3000</v>
      </c>
      <c r="L45" s="1"/>
      <c r="M45" s="1"/>
    </row>
    <row r="46" spans="2:13" ht="17.25" thickTop="1" x14ac:dyDescent="0.3">
      <c r="B46" s="263" t="s">
        <v>279</v>
      </c>
      <c r="C46" s="269">
        <v>1</v>
      </c>
      <c r="D46" s="178">
        <f>E46-F46</f>
        <v>0</v>
      </c>
      <c r="E46" s="178">
        <f>4500*$C46</f>
        <v>4500</v>
      </c>
      <c r="F46" s="178">
        <f>4500*$C46</f>
        <v>4500</v>
      </c>
      <c r="H46" s="263" t="s">
        <v>279</v>
      </c>
      <c r="I46" s="269">
        <v>0</v>
      </c>
      <c r="J46" s="178">
        <f>K46-F46</f>
        <v>-4500</v>
      </c>
      <c r="K46" s="178">
        <f>4500*$I46</f>
        <v>0</v>
      </c>
      <c r="L46" s="1"/>
      <c r="M46" s="1"/>
    </row>
    <row r="47" spans="2:13" x14ac:dyDescent="0.3">
      <c r="B47" s="262" t="s">
        <v>280</v>
      </c>
      <c r="C47" s="270">
        <v>2.5</v>
      </c>
      <c r="D47" s="110">
        <f t="shared" ref="D47:D48" si="21">E47-F47</f>
        <v>-1250</v>
      </c>
      <c r="E47" s="110">
        <f>(1500*2/3)*$C47</f>
        <v>2500</v>
      </c>
      <c r="F47" s="110">
        <f>1500*C47</f>
        <v>3750</v>
      </c>
      <c r="H47" s="262" t="s">
        <v>280</v>
      </c>
      <c r="I47" s="270">
        <v>2.5</v>
      </c>
      <c r="J47" s="110">
        <f>K47-F47</f>
        <v>-1250</v>
      </c>
      <c r="K47" s="110">
        <f>(1500*2/3)*$C47</f>
        <v>2500</v>
      </c>
      <c r="L47" s="1"/>
      <c r="M47" s="1"/>
    </row>
    <row r="48" spans="2:13" x14ac:dyDescent="0.3">
      <c r="B48" s="262" t="s">
        <v>281</v>
      </c>
      <c r="C48" s="270">
        <v>1</v>
      </c>
      <c r="D48" s="110">
        <f t="shared" si="21"/>
        <v>-500</v>
      </c>
      <c r="E48" s="110">
        <f>1000/2</f>
        <v>500</v>
      </c>
      <c r="F48" s="110">
        <v>1000</v>
      </c>
      <c r="H48" s="262" t="s">
        <v>281</v>
      </c>
      <c r="I48" s="270">
        <v>1</v>
      </c>
      <c r="J48" s="110">
        <f>K48-F48</f>
        <v>-500</v>
      </c>
      <c r="K48" s="110">
        <f>1000/2</f>
        <v>500</v>
      </c>
      <c r="L48" s="1"/>
      <c r="M48" s="1"/>
    </row>
    <row r="49" spans="12:13" x14ac:dyDescent="0.3">
      <c r="L49" s="1"/>
      <c r="M49" s="1"/>
    </row>
    <row r="50" spans="12:13" x14ac:dyDescent="0.3">
      <c r="L50" s="1"/>
      <c r="M50" s="1"/>
    </row>
    <row r="51" spans="12:13" x14ac:dyDescent="0.3">
      <c r="L51" s="1"/>
      <c r="M51" s="1"/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5582-53EF-4CC2-BD92-6724EA3B0244}">
  <dimension ref="B1:U95"/>
  <sheetViews>
    <sheetView zoomScale="110" zoomScaleNormal="110" workbookViewId="0">
      <selection activeCell="E27" sqref="E27"/>
    </sheetView>
  </sheetViews>
  <sheetFormatPr defaultRowHeight="16.5" x14ac:dyDescent="0.3"/>
  <cols>
    <col min="1" max="1" width="2.125" style="1" customWidth="1"/>
    <col min="2" max="2" width="2.75" style="1" customWidth="1"/>
    <col min="3" max="3" width="20" style="1" customWidth="1"/>
    <col min="4" max="4" width="15" style="1" bestFit="1" customWidth="1"/>
    <col min="5" max="11" width="12.625" style="1" customWidth="1"/>
    <col min="12" max="12" width="2" style="1" customWidth="1"/>
    <col min="13" max="14" width="12.625" style="1" customWidth="1"/>
    <col min="15" max="15" width="17" style="1" customWidth="1"/>
    <col min="16" max="16" width="11.875" style="1" customWidth="1"/>
    <col min="17" max="19" width="12.625" style="1" customWidth="1"/>
    <col min="20" max="16384" width="9" style="1"/>
  </cols>
  <sheetData>
    <row r="1" spans="2:16" ht="15" customHeight="1" x14ac:dyDescent="0.3"/>
    <row r="2" spans="2:16" s="230" customFormat="1" ht="18" customHeight="1" x14ac:dyDescent="0.3">
      <c r="B2" s="451" t="s">
        <v>430</v>
      </c>
      <c r="C2" s="451"/>
      <c r="D2" s="418" t="s">
        <v>403</v>
      </c>
      <c r="E2" s="419" t="s">
        <v>400</v>
      </c>
      <c r="F2" s="419" t="s">
        <v>401</v>
      </c>
      <c r="G2" s="419" t="s">
        <v>402</v>
      </c>
      <c r="H2" s="419" t="s">
        <v>399</v>
      </c>
      <c r="I2" s="419" t="s">
        <v>404</v>
      </c>
      <c r="J2" s="432" t="s">
        <v>496</v>
      </c>
      <c r="K2" s="419" t="s">
        <v>498</v>
      </c>
      <c r="M2" s="419" t="s">
        <v>554</v>
      </c>
      <c r="O2" s="1"/>
      <c r="P2" s="1"/>
    </row>
    <row r="3" spans="2:16" ht="5.0999999999999996" customHeight="1" thickBot="1" x14ac:dyDescent="0.35"/>
    <row r="4" spans="2:16" s="230" customFormat="1" ht="18" customHeight="1" thickBot="1" x14ac:dyDescent="0.35">
      <c r="B4" s="1"/>
      <c r="C4" s="441">
        <f>D4/7</f>
        <v>-224320.57142857142</v>
      </c>
      <c r="D4" s="327">
        <f>SUM(E4:J4)</f>
        <v>-1570244</v>
      </c>
      <c r="E4" s="417">
        <f>SUM(E7,E11,E15,E19,E24)</f>
        <v>-331370</v>
      </c>
      <c r="F4" s="417">
        <f t="shared" ref="F4:J4" si="0">SUM(F7,F11,F15,F19,F24)</f>
        <v>-849510</v>
      </c>
      <c r="G4" s="417">
        <f t="shared" si="0"/>
        <v>640170</v>
      </c>
      <c r="H4" s="417">
        <f t="shared" si="0"/>
        <v>-667480</v>
      </c>
      <c r="I4" s="417">
        <f t="shared" si="0"/>
        <v>216502</v>
      </c>
      <c r="J4" s="417">
        <f t="shared" si="0"/>
        <v>-578556</v>
      </c>
      <c r="K4" s="476" t="s">
        <v>556</v>
      </c>
      <c r="L4" s="358"/>
      <c r="M4" s="417">
        <f t="shared" ref="K4:M4" si="1">SUM(M7,M11,M15,M19,M24)</f>
        <v>-2100000</v>
      </c>
      <c r="N4" s="469"/>
      <c r="O4" s="1"/>
      <c r="P4" s="1"/>
    </row>
    <row r="5" spans="2:16" ht="12.75" customHeight="1" x14ac:dyDescent="0.3">
      <c r="K5" s="477">
        <f>SUM(K7,K11,K15,K19,K24)</f>
        <v>-687338</v>
      </c>
    </row>
    <row r="6" spans="2:16" ht="18" customHeight="1" thickBot="1" x14ac:dyDescent="0.35">
      <c r="B6" s="333" t="s">
        <v>468</v>
      </c>
      <c r="C6" s="334"/>
      <c r="D6" s="335"/>
    </row>
    <row r="7" spans="2:16" s="230" customFormat="1" ht="18" customHeight="1" thickBot="1" x14ac:dyDescent="0.35">
      <c r="B7" s="331" t="s">
        <v>469</v>
      </c>
      <c r="C7" s="331"/>
      <c r="D7" s="355">
        <f>SUM(E7:K7)</f>
        <v>-439920</v>
      </c>
      <c r="E7" s="364">
        <f>E8-650000</f>
        <v>-71370</v>
      </c>
      <c r="F7" s="364">
        <f t="shared" ref="F7:H7" si="2">F8-650000</f>
        <v>-49510</v>
      </c>
      <c r="G7" s="364">
        <f t="shared" si="2"/>
        <v>-129830</v>
      </c>
      <c r="H7" s="364">
        <f t="shared" si="2"/>
        <v>-149780</v>
      </c>
      <c r="I7" s="364">
        <f>I8-650000</f>
        <v>-47130</v>
      </c>
      <c r="J7" s="364">
        <f>J8-650000</f>
        <v>54830</v>
      </c>
      <c r="K7" s="364">
        <f>K8-650000</f>
        <v>-47130</v>
      </c>
      <c r="M7" s="364">
        <f>M8-650000</f>
        <v>-650000</v>
      </c>
      <c r="O7" s="1"/>
    </row>
    <row r="8" spans="2:16" s="230" customFormat="1" ht="18" customHeight="1" thickBot="1" x14ac:dyDescent="0.35">
      <c r="B8" s="365"/>
      <c r="C8" s="365" t="s">
        <v>426</v>
      </c>
      <c r="D8" s="366">
        <f>SUM(E8:K8)</f>
        <v>4110080</v>
      </c>
      <c r="E8" s="365">
        <f>관리비!M26</f>
        <v>578630</v>
      </c>
      <c r="F8" s="365">
        <f>관리비!M27</f>
        <v>600490</v>
      </c>
      <c r="G8" s="365">
        <f>관리비!M28</f>
        <v>520170</v>
      </c>
      <c r="H8" s="365">
        <f>관리비!M29</f>
        <v>500220</v>
      </c>
      <c r="I8" s="365">
        <f>관리비!M30</f>
        <v>602870</v>
      </c>
      <c r="J8" s="367">
        <f>관리비!M31</f>
        <v>704830</v>
      </c>
      <c r="K8" s="439">
        <f>I8</f>
        <v>602870</v>
      </c>
      <c r="O8" s="1"/>
    </row>
    <row r="9" spans="2:16" ht="5.0999999999999996" customHeight="1" x14ac:dyDescent="0.3">
      <c r="L9" s="230"/>
      <c r="N9" s="230"/>
    </row>
    <row r="10" spans="2:16" ht="18" customHeight="1" thickBot="1" x14ac:dyDescent="0.35">
      <c r="B10" s="333" t="s">
        <v>470</v>
      </c>
      <c r="C10" s="334"/>
      <c r="D10" s="335"/>
      <c r="L10" s="230"/>
      <c r="N10" s="230"/>
    </row>
    <row r="11" spans="2:16" s="230" customFormat="1" ht="18" customHeight="1" thickBot="1" x14ac:dyDescent="0.35">
      <c r="B11" s="331" t="s">
        <v>471</v>
      </c>
      <c r="C11" s="331"/>
      <c r="D11" s="355">
        <f>SUM(E11:K11)</f>
        <v>-130000</v>
      </c>
      <c r="E11" s="364">
        <f>E12-100000</f>
        <v>-100000</v>
      </c>
      <c r="F11" s="364">
        <f t="shared" ref="F11:M11" si="3">F12-100000</f>
        <v>-100000</v>
      </c>
      <c r="G11" s="364">
        <f t="shared" si="3"/>
        <v>-100000</v>
      </c>
      <c r="H11" s="364">
        <f t="shared" si="3"/>
        <v>-100000</v>
      </c>
      <c r="I11" s="364">
        <f t="shared" si="3"/>
        <v>-100000</v>
      </c>
      <c r="J11" s="364">
        <f t="shared" si="3"/>
        <v>470000</v>
      </c>
      <c r="K11" s="364">
        <f t="shared" si="3"/>
        <v>-100000</v>
      </c>
      <c r="M11" s="364">
        <f t="shared" si="3"/>
        <v>-100000</v>
      </c>
      <c r="O11" s="1"/>
    </row>
    <row r="12" spans="2:16" s="230" customFormat="1" ht="18" customHeight="1" thickBot="1" x14ac:dyDescent="0.35">
      <c r="B12" s="365"/>
      <c r="C12" s="365" t="s">
        <v>426</v>
      </c>
      <c r="D12" s="366">
        <f>SUM(E12:K12)</f>
        <v>570000</v>
      </c>
      <c r="E12" s="365"/>
      <c r="F12" s="365"/>
      <c r="G12" s="365"/>
      <c r="H12" s="365"/>
      <c r="I12" s="365"/>
      <c r="J12" s="434">
        <v>570000</v>
      </c>
      <c r="K12" s="365"/>
      <c r="L12" s="356"/>
      <c r="M12" s="365"/>
      <c r="N12" s="356"/>
    </row>
    <row r="13" spans="2:16" ht="5.0999999999999996" customHeight="1" x14ac:dyDescent="0.3"/>
    <row r="14" spans="2:16" ht="18" customHeight="1" thickBot="1" x14ac:dyDescent="0.35">
      <c r="B14" s="333" t="s">
        <v>425</v>
      </c>
      <c r="C14" s="334"/>
      <c r="D14" s="335"/>
      <c r="O14" s="347"/>
    </row>
    <row r="15" spans="2:16" s="230" customFormat="1" ht="18" customHeight="1" thickBot="1" x14ac:dyDescent="0.35">
      <c r="B15" s="331" t="s">
        <v>428</v>
      </c>
      <c r="C15" s="331"/>
      <c r="D15" s="355">
        <f>SUM(E15:K15)</f>
        <v>-1000000</v>
      </c>
      <c r="E15" s="364">
        <f>E16-200000</f>
        <v>-200000</v>
      </c>
      <c r="F15" s="364">
        <f t="shared" ref="F15:M15" si="4">F16-200000</f>
        <v>-200000</v>
      </c>
      <c r="G15" s="364">
        <f t="shared" si="4"/>
        <v>-200000</v>
      </c>
      <c r="H15" s="364">
        <f t="shared" si="4"/>
        <v>-200000</v>
      </c>
      <c r="I15" s="364">
        <f t="shared" si="4"/>
        <v>-200000</v>
      </c>
      <c r="J15" s="364">
        <f t="shared" si="4"/>
        <v>-200000</v>
      </c>
      <c r="K15" s="364">
        <f t="shared" si="4"/>
        <v>200000</v>
      </c>
      <c r="M15" s="364">
        <f t="shared" si="4"/>
        <v>-200000</v>
      </c>
    </row>
    <row r="16" spans="2:16" s="230" customFormat="1" ht="18" customHeight="1" thickBot="1" x14ac:dyDescent="0.35">
      <c r="B16" s="365"/>
      <c r="C16" s="365" t="s">
        <v>426</v>
      </c>
      <c r="D16" s="366">
        <f>SUM(E16:K16)</f>
        <v>400000</v>
      </c>
      <c r="E16" s="365">
        <v>0</v>
      </c>
      <c r="F16" s="365">
        <v>0</v>
      </c>
      <c r="G16" s="365">
        <v>0</v>
      </c>
      <c r="H16" s="365">
        <v>0</v>
      </c>
      <c r="I16" s="365">
        <v>0</v>
      </c>
      <c r="J16" s="365">
        <v>0</v>
      </c>
      <c r="K16" s="437">
        <f>400000+1400000-1400000</f>
        <v>400000</v>
      </c>
      <c r="L16" s="356"/>
      <c r="M16" s="356"/>
      <c r="N16" s="356"/>
    </row>
    <row r="17" spans="2:21" ht="5.0999999999999996" customHeight="1" x14ac:dyDescent="0.3"/>
    <row r="18" spans="2:21" ht="18" customHeight="1" thickBot="1" x14ac:dyDescent="0.35">
      <c r="B18" s="333" t="s">
        <v>427</v>
      </c>
      <c r="C18" s="334"/>
      <c r="D18" s="335"/>
    </row>
    <row r="19" spans="2:21" s="230" customFormat="1" ht="18" customHeight="1" thickBot="1" x14ac:dyDescent="0.35">
      <c r="B19" s="331" t="s">
        <v>544</v>
      </c>
      <c r="C19" s="331"/>
      <c r="D19" s="355">
        <f>SUM(E19:K19)</f>
        <v>700000</v>
      </c>
      <c r="E19" s="364">
        <f>E20-300000</f>
        <v>-200000</v>
      </c>
      <c r="F19" s="364">
        <f t="shared" ref="F19:M19" si="5">F20-300000</f>
        <v>-200000</v>
      </c>
      <c r="G19" s="364">
        <f t="shared" si="5"/>
        <v>300000</v>
      </c>
      <c r="H19" s="364">
        <f t="shared" si="5"/>
        <v>-100000</v>
      </c>
      <c r="I19" s="364">
        <f t="shared" si="5"/>
        <v>-100000</v>
      </c>
      <c r="J19" s="364">
        <f t="shared" si="5"/>
        <v>900000</v>
      </c>
      <c r="K19" s="364">
        <f t="shared" si="5"/>
        <v>100000</v>
      </c>
      <c r="M19" s="364">
        <f t="shared" si="5"/>
        <v>-200000</v>
      </c>
      <c r="O19" s="235" t="s">
        <v>472</v>
      </c>
    </row>
    <row r="20" spans="2:21" s="230" customFormat="1" ht="18" customHeight="1" thickBot="1" x14ac:dyDescent="0.35">
      <c r="B20" s="368"/>
      <c r="C20" s="365" t="s">
        <v>426</v>
      </c>
      <c r="D20" s="366">
        <f>SUM(E20:K20)</f>
        <v>2800000</v>
      </c>
      <c r="E20" s="365">
        <v>100000</v>
      </c>
      <c r="F20" s="365">
        <v>100000</v>
      </c>
      <c r="G20" s="426">
        <f>200000+100000+300000</f>
        <v>600000</v>
      </c>
      <c r="H20" s="365">
        <v>200000</v>
      </c>
      <c r="I20" s="365">
        <v>200000</v>
      </c>
      <c r="J20" s="438">
        <f>1000000+200000</f>
        <v>1200000</v>
      </c>
      <c r="K20" s="365">
        <f>200000+200000</f>
        <v>400000</v>
      </c>
      <c r="M20" s="365">
        <f>100000</f>
        <v>100000</v>
      </c>
    </row>
    <row r="21" spans="2:21" ht="18" customHeight="1" x14ac:dyDescent="0.3">
      <c r="I21" s="357"/>
    </row>
    <row r="22" spans="2:21" ht="18" customHeight="1" x14ac:dyDescent="0.3">
      <c r="B22" s="333" t="s">
        <v>438</v>
      </c>
      <c r="C22" s="335"/>
      <c r="D22" s="335"/>
      <c r="K22" s="442">
        <v>46299</v>
      </c>
    </row>
    <row r="23" spans="2:21" s="230" customFormat="1" ht="5.0999999999999996" customHeight="1" thickBot="1" x14ac:dyDescent="0.35">
      <c r="B23" s="59"/>
      <c r="C23" s="47"/>
      <c r="D23" s="326"/>
      <c r="E23" s="47"/>
      <c r="F23" s="47"/>
      <c r="G23" s="47"/>
      <c r="H23" s="47"/>
      <c r="I23" s="47"/>
      <c r="J23" s="47"/>
      <c r="K23" s="47"/>
      <c r="M23" s="47"/>
    </row>
    <row r="24" spans="2:21" s="230" customFormat="1" ht="18" customHeight="1" thickBot="1" x14ac:dyDescent="0.35">
      <c r="B24" s="337" t="s">
        <v>429</v>
      </c>
      <c r="C24" s="337"/>
      <c r="D24" s="352">
        <f>SUM(E24:K24)</f>
        <v>-1387662</v>
      </c>
      <c r="E24" s="353">
        <f t="shared" ref="E24:J24" si="6">E27-E25</f>
        <v>240000</v>
      </c>
      <c r="F24" s="353">
        <f t="shared" si="6"/>
        <v>-300000</v>
      </c>
      <c r="G24" s="353">
        <f t="shared" si="6"/>
        <v>770000</v>
      </c>
      <c r="H24" s="353">
        <f t="shared" si="6"/>
        <v>-117700</v>
      </c>
      <c r="I24" s="354">
        <f t="shared" si="6"/>
        <v>663632</v>
      </c>
      <c r="J24" s="353">
        <f t="shared" si="6"/>
        <v>-1803386</v>
      </c>
      <c r="K24" s="353">
        <f>K27-K25</f>
        <v>-840208</v>
      </c>
      <c r="L24" s="351"/>
      <c r="M24" s="353">
        <f>M27-M25</f>
        <v>-950000</v>
      </c>
      <c r="N24" s="351"/>
    </row>
    <row r="25" spans="2:21" s="230" customFormat="1" ht="15" hidden="1" customHeight="1" x14ac:dyDescent="0.3">
      <c r="B25" s="103"/>
      <c r="C25" s="85" t="s">
        <v>437</v>
      </c>
      <c r="D25" s="332">
        <f>SUM(E25:I25)</f>
        <v>7500000</v>
      </c>
      <c r="E25" s="85">
        <v>1500000</v>
      </c>
      <c r="F25" s="85">
        <v>1500000</v>
      </c>
      <c r="G25" s="85">
        <v>1500000</v>
      </c>
      <c r="H25" s="85">
        <v>1500000</v>
      </c>
      <c r="I25" s="85">
        <v>1500000</v>
      </c>
      <c r="J25" s="85">
        <v>1500000</v>
      </c>
      <c r="K25" s="85">
        <v>1500000</v>
      </c>
      <c r="M25" s="85">
        <v>1500000</v>
      </c>
    </row>
    <row r="26" spans="2:21" s="230" customFormat="1" ht="5.0999999999999996" customHeight="1" thickBot="1" x14ac:dyDescent="0.35"/>
    <row r="27" spans="2:21" s="230" customFormat="1" ht="18" customHeight="1" thickBot="1" x14ac:dyDescent="0.35">
      <c r="B27" s="312" t="s">
        <v>398</v>
      </c>
      <c r="C27" s="312"/>
      <c r="D27" s="313">
        <f>SUM(E27:K27)</f>
        <v>9112338</v>
      </c>
      <c r="E27" s="312">
        <f t="shared" ref="E27:G27" si="7">E28-E29-E30</f>
        <v>1740000</v>
      </c>
      <c r="F27" s="312">
        <f t="shared" si="7"/>
        <v>1200000</v>
      </c>
      <c r="G27" s="312">
        <f t="shared" si="7"/>
        <v>2270000</v>
      </c>
      <c r="H27" s="312">
        <f>H28-H29-H30</f>
        <v>1382300</v>
      </c>
      <c r="I27" s="339">
        <f>I28-I29-I30</f>
        <v>2163632</v>
      </c>
      <c r="J27" s="436">
        <f>J28-J29-J30</f>
        <v>-303386</v>
      </c>
      <c r="K27" s="312">
        <f>K28-K29-K30</f>
        <v>659792</v>
      </c>
      <c r="M27" s="312">
        <f>M28-M29-M30</f>
        <v>550000</v>
      </c>
      <c r="O27" s="13" t="s">
        <v>433</v>
      </c>
    </row>
    <row r="28" spans="2:21" ht="15" customHeight="1" x14ac:dyDescent="0.3">
      <c r="C28" s="13" t="s">
        <v>386</v>
      </c>
      <c r="D28" s="13"/>
      <c r="E28" s="478">
        <v>2500000</v>
      </c>
      <c r="F28" s="478">
        <v>2500000</v>
      </c>
      <c r="G28" s="478">
        <v>2500000</v>
      </c>
      <c r="H28" s="13">
        <f>SUM(H32,H37)</f>
        <v>2867764</v>
      </c>
      <c r="I28" s="13">
        <f>SUM(I32,I37)</f>
        <v>2496132</v>
      </c>
      <c r="J28" s="13">
        <f>SUM(J32,J37)</f>
        <v>2337274</v>
      </c>
      <c r="K28" s="13">
        <f>SUM(K32,K37)</f>
        <v>1049812</v>
      </c>
      <c r="M28" s="13">
        <f>SUM(M32,M37)</f>
        <v>550000</v>
      </c>
      <c r="O28" s="133" t="s">
        <v>424</v>
      </c>
      <c r="P28" s="230"/>
      <c r="Q28" s="230"/>
      <c r="R28" s="230"/>
      <c r="S28" s="230"/>
      <c r="T28" s="230"/>
      <c r="U28" s="230"/>
    </row>
    <row r="29" spans="2:21" ht="15" customHeight="1" x14ac:dyDescent="0.3">
      <c r="C29" s="13" t="s">
        <v>499</v>
      </c>
      <c r="D29" s="13"/>
      <c r="E29" s="13"/>
      <c r="F29" s="13"/>
      <c r="G29" s="13"/>
      <c r="H29" s="13">
        <f>H82</f>
        <v>430000</v>
      </c>
      <c r="I29" s="13">
        <f>I82</f>
        <v>142500</v>
      </c>
      <c r="J29" s="13">
        <f>J82</f>
        <v>0</v>
      </c>
      <c r="K29" s="13">
        <f>K82</f>
        <v>0</v>
      </c>
      <c r="M29" s="13">
        <f>M82</f>
        <v>0</v>
      </c>
      <c r="O29" s="230"/>
      <c r="P29" s="230"/>
      <c r="Q29" s="230"/>
      <c r="R29" s="230"/>
      <c r="S29" s="230"/>
      <c r="T29" s="230"/>
      <c r="U29" s="230"/>
    </row>
    <row r="30" spans="2:21" ht="15" customHeight="1" x14ac:dyDescent="0.3">
      <c r="C30" s="13" t="s">
        <v>397</v>
      </c>
      <c r="D30" s="13"/>
      <c r="E30" s="13">
        <f t="shared" ref="E30:J30" si="8">E39</f>
        <v>760000</v>
      </c>
      <c r="F30" s="13">
        <f t="shared" si="8"/>
        <v>1300000</v>
      </c>
      <c r="G30" s="13">
        <f t="shared" si="8"/>
        <v>230000</v>
      </c>
      <c r="H30" s="289">
        <f t="shared" si="8"/>
        <v>1055464</v>
      </c>
      <c r="I30" s="13">
        <f t="shared" si="8"/>
        <v>190000</v>
      </c>
      <c r="J30" s="13">
        <f t="shared" si="8"/>
        <v>2640660</v>
      </c>
      <c r="K30" s="13">
        <f>K39</f>
        <v>390020</v>
      </c>
      <c r="M30" s="13">
        <f>M39</f>
        <v>0</v>
      </c>
      <c r="O30" s="230" t="s">
        <v>423</v>
      </c>
      <c r="P30" s="230"/>
      <c r="S30" s="230"/>
      <c r="T30" s="230"/>
      <c r="U30" s="230"/>
    </row>
    <row r="31" spans="2:21" ht="5.0999999999999996" customHeight="1" x14ac:dyDescent="0.3">
      <c r="S31" s="230"/>
      <c r="T31" s="230"/>
      <c r="U31" s="230"/>
    </row>
    <row r="32" spans="2:21" ht="15" customHeight="1" x14ac:dyDescent="0.3">
      <c r="B32" s="310" t="s">
        <v>395</v>
      </c>
      <c r="C32" s="310"/>
      <c r="D32" s="310"/>
      <c r="E32" s="310">
        <f t="shared" ref="E32:G32" si="9">SUM(E33:E35)</f>
        <v>650000</v>
      </c>
      <c r="F32" s="310">
        <f t="shared" si="9"/>
        <v>650000</v>
      </c>
      <c r="G32" s="310">
        <f t="shared" si="9"/>
        <v>650000</v>
      </c>
      <c r="H32" s="310">
        <f>SUM(H33:H35)</f>
        <v>970000</v>
      </c>
      <c r="I32" s="310">
        <f>SUM(I33:I35)</f>
        <v>450000</v>
      </c>
      <c r="J32" s="310">
        <f>SUM(J33:J35)</f>
        <v>525000</v>
      </c>
      <c r="K32" s="310">
        <f>SUM(K33:K35)</f>
        <v>550000</v>
      </c>
      <c r="M32" s="310">
        <f>SUM(M33:M35)</f>
        <v>550000</v>
      </c>
      <c r="O32" s="328" t="s">
        <v>420</v>
      </c>
      <c r="P32" s="230">
        <f>72*1500</f>
        <v>108000</v>
      </c>
      <c r="S32" s="230"/>
      <c r="T32" s="230"/>
      <c r="U32" s="230"/>
    </row>
    <row r="33" spans="2:21" ht="15" customHeight="1" x14ac:dyDescent="0.3">
      <c r="C33" s="1" t="s">
        <v>406</v>
      </c>
      <c r="E33" s="1">
        <f>25000*4+200000</f>
        <v>300000</v>
      </c>
      <c r="F33" s="1">
        <f t="shared" ref="F33:G33" si="10">25000*4+200000</f>
        <v>300000</v>
      </c>
      <c r="G33" s="1">
        <f t="shared" si="10"/>
        <v>300000</v>
      </c>
      <c r="H33" s="413">
        <f>25000*10+200000+70000</f>
        <v>520000</v>
      </c>
      <c r="I33" s="414">
        <f>25000*0+200000</f>
        <v>200000</v>
      </c>
      <c r="J33" s="315">
        <f>25000*3+200000</f>
        <v>275000</v>
      </c>
      <c r="K33" s="315">
        <f>25000*4+200000</f>
        <v>300000</v>
      </c>
      <c r="M33" s="315">
        <f>25000*4+200000</f>
        <v>300000</v>
      </c>
      <c r="O33" s="230" t="s">
        <v>421</v>
      </c>
      <c r="P33" s="1">
        <f>(72/3*2)*1500</f>
        <v>72000</v>
      </c>
      <c r="Q33" s="1">
        <f>P33-P32</f>
        <v>-36000</v>
      </c>
      <c r="S33" s="230"/>
      <c r="T33" s="230"/>
      <c r="U33" s="230"/>
    </row>
    <row r="34" spans="2:21" ht="15" customHeight="1" x14ac:dyDescent="0.3">
      <c r="C34" s="1" t="s">
        <v>436</v>
      </c>
      <c r="E34" s="1">
        <f>250000*0.2</f>
        <v>50000</v>
      </c>
      <c r="F34" s="1">
        <f t="shared" ref="F34:G34" si="11">250000*0.2</f>
        <v>50000</v>
      </c>
      <c r="G34" s="1">
        <f t="shared" si="11"/>
        <v>50000</v>
      </c>
      <c r="H34" s="1">
        <f>250000*0.2+100000</f>
        <v>150000</v>
      </c>
      <c r="I34" s="1">
        <f t="shared" ref="I34:M34" si="12">250000*0.2</f>
        <v>50000</v>
      </c>
      <c r="J34" s="1">
        <f t="shared" si="12"/>
        <v>50000</v>
      </c>
      <c r="K34" s="1">
        <f t="shared" si="12"/>
        <v>50000</v>
      </c>
      <c r="M34" s="1">
        <f t="shared" si="12"/>
        <v>50000</v>
      </c>
      <c r="O34" s="330" t="s">
        <v>422</v>
      </c>
      <c r="P34" s="289">
        <f>(23700*2+3000)*72/(36*2)</f>
        <v>50400</v>
      </c>
      <c r="Q34" s="336">
        <f>P34-P31</f>
        <v>50400</v>
      </c>
      <c r="R34" s="76">
        <f>P34-P32</f>
        <v>-57600</v>
      </c>
    </row>
    <row r="35" spans="2:21" ht="15" customHeight="1" x14ac:dyDescent="0.3">
      <c r="C35" s="415" t="s">
        <v>535</v>
      </c>
      <c r="D35" s="416"/>
      <c r="E35" s="416">
        <v>300000</v>
      </c>
      <c r="F35" s="416">
        <v>300000</v>
      </c>
      <c r="G35" s="416">
        <v>300000</v>
      </c>
      <c r="H35" s="416">
        <f>100000+200000</f>
        <v>300000</v>
      </c>
      <c r="I35" s="416">
        <v>200000</v>
      </c>
      <c r="J35" s="416">
        <v>200000</v>
      </c>
      <c r="K35" s="416">
        <v>200000</v>
      </c>
      <c r="M35" s="416">
        <v>200000</v>
      </c>
      <c r="O35" s="330" t="s">
        <v>422</v>
      </c>
      <c r="P35" s="289">
        <f>(23700*2+3000)*72/(36*2)</f>
        <v>50400</v>
      </c>
      <c r="Q35" s="336">
        <f>P35-P32</f>
        <v>-57600</v>
      </c>
      <c r="R35" s="76">
        <f>P35-P33</f>
        <v>-21600</v>
      </c>
    </row>
    <row r="36" spans="2:21" ht="5.0999999999999996" customHeight="1" x14ac:dyDescent="0.3"/>
    <row r="37" spans="2:21" ht="15" customHeight="1" x14ac:dyDescent="0.3">
      <c r="B37" s="310" t="s">
        <v>389</v>
      </c>
      <c r="C37" s="310"/>
      <c r="D37" s="310"/>
      <c r="E37" s="310">
        <f>E28-E32</f>
        <v>1850000</v>
      </c>
      <c r="F37" s="310">
        <f>F28-F32</f>
        <v>1850000</v>
      </c>
      <c r="G37" s="310">
        <f>G28-G32</f>
        <v>1850000</v>
      </c>
      <c r="H37" s="310">
        <f>SUM(H46,H50,H54,H87,H78,H80)</f>
        <v>1897764</v>
      </c>
      <c r="I37" s="310">
        <f>SUM(I46,I50,I54,I87,I78,I80)</f>
        <v>2046132</v>
      </c>
      <c r="J37" s="310">
        <f>SUM(J46,J50,J54,J87,J78,J80)</f>
        <v>1812274</v>
      </c>
      <c r="K37" s="310">
        <f>SUM(K46,K50,K54,K87,K78,K80)</f>
        <v>499812</v>
      </c>
      <c r="M37" s="310">
        <f>SUM(M46,M50,M54,M87,M78,M80)</f>
        <v>0</v>
      </c>
      <c r="O37" s="329" t="s">
        <v>467</v>
      </c>
    </row>
    <row r="38" spans="2:21" ht="5.0999999999999996" customHeight="1" x14ac:dyDescent="0.3"/>
    <row r="39" spans="2:21" ht="15" customHeight="1" x14ac:dyDescent="0.3">
      <c r="B39" s="431" t="s">
        <v>387</v>
      </c>
      <c r="C39" s="431"/>
      <c r="D39" s="431"/>
      <c r="E39" s="431">
        <f t="shared" ref="E39:G39" si="13">SUM(E40:E44)</f>
        <v>760000</v>
      </c>
      <c r="F39" s="431">
        <f t="shared" si="13"/>
        <v>1300000</v>
      </c>
      <c r="G39" s="431">
        <f t="shared" si="13"/>
        <v>230000</v>
      </c>
      <c r="H39" s="431">
        <f>SUM(H40:H44)</f>
        <v>1055464</v>
      </c>
      <c r="I39" s="431">
        <f>SUM(I40:I44)</f>
        <v>190000</v>
      </c>
      <c r="J39" s="431">
        <f>SUM(J40:J44)</f>
        <v>2640660</v>
      </c>
      <c r="K39" s="431">
        <f>SUM(K40:K44)</f>
        <v>390020</v>
      </c>
      <c r="M39" s="431">
        <f>SUM(M40:M44)</f>
        <v>0</v>
      </c>
    </row>
    <row r="40" spans="2:21" ht="15" customHeight="1" x14ac:dyDescent="0.3">
      <c r="C40" s="1" t="s">
        <v>391</v>
      </c>
      <c r="E40" s="1">
        <v>60000</v>
      </c>
      <c r="F40" s="1">
        <v>200000</v>
      </c>
      <c r="G40" s="1">
        <v>200000</v>
      </c>
      <c r="H40" s="1">
        <v>200000</v>
      </c>
      <c r="J40" s="1">
        <v>54460</v>
      </c>
      <c r="K40" s="1">
        <v>5020</v>
      </c>
    </row>
    <row r="41" spans="2:21" ht="15" customHeight="1" x14ac:dyDescent="0.3">
      <c r="C41" s="1" t="s">
        <v>553</v>
      </c>
      <c r="H41" s="329">
        <v>440000</v>
      </c>
      <c r="J41" s="329">
        <v>186200</v>
      </c>
    </row>
    <row r="42" spans="2:21" ht="15" customHeight="1" x14ac:dyDescent="0.3">
      <c r="C42" s="1" t="s">
        <v>388</v>
      </c>
      <c r="H42" s="1">
        <f>215464</f>
        <v>215464</v>
      </c>
    </row>
    <row r="43" spans="2:21" ht="15" customHeight="1" x14ac:dyDescent="0.3">
      <c r="C43" s="1" t="s">
        <v>537</v>
      </c>
      <c r="G43" s="1">
        <v>30000</v>
      </c>
      <c r="I43" s="1">
        <v>20000</v>
      </c>
      <c r="J43" s="424">
        <v>2200000</v>
      </c>
    </row>
    <row r="44" spans="2:21" ht="15" customHeight="1" x14ac:dyDescent="0.3">
      <c r="C44" s="56" t="s">
        <v>405</v>
      </c>
      <c r="D44" s="56"/>
      <c r="E44" s="56">
        <f>200000+500000</f>
        <v>700000</v>
      </c>
      <c r="F44" s="56">
        <f>600000+500000</f>
        <v>1100000</v>
      </c>
      <c r="G44" s="56"/>
      <c r="H44" s="56">
        <v>200000</v>
      </c>
      <c r="I44" s="56">
        <f>30000+100000+40000</f>
        <v>170000</v>
      </c>
      <c r="J44" s="56">
        <v>200000</v>
      </c>
      <c r="K44" s="440">
        <v>385000</v>
      </c>
      <c r="M44" s="440"/>
    </row>
    <row r="45" spans="2:21" ht="15" customHeight="1" x14ac:dyDescent="0.3">
      <c r="E45" s="314"/>
      <c r="F45" s="314"/>
    </row>
    <row r="46" spans="2:21" ht="15" customHeight="1" x14ac:dyDescent="0.3">
      <c r="B46" s="311" t="s">
        <v>393</v>
      </c>
      <c r="C46" s="311"/>
      <c r="D46" s="311"/>
      <c r="E46" s="311"/>
      <c r="F46" s="311"/>
      <c r="G46" s="311"/>
      <c r="H46" s="311">
        <f>SUM(H47:H48)</f>
        <v>214000</v>
      </c>
      <c r="I46" s="311">
        <f>SUM(I47:I48)</f>
        <v>430000</v>
      </c>
      <c r="J46" s="311">
        <f>SUM(J47:J48)</f>
        <v>142500</v>
      </c>
      <c r="K46" s="311">
        <f>SUM(K47:K48)</f>
        <v>0</v>
      </c>
      <c r="M46" s="311">
        <f>SUM(M47:M48)</f>
        <v>0</v>
      </c>
    </row>
    <row r="47" spans="2:21" ht="15" customHeight="1" x14ac:dyDescent="0.3">
      <c r="C47" s="1" t="s">
        <v>407</v>
      </c>
      <c r="H47" s="1">
        <v>90000</v>
      </c>
      <c r="I47" s="1">
        <f>H83</f>
        <v>210000</v>
      </c>
      <c r="J47" s="1">
        <f>I83</f>
        <v>67500</v>
      </c>
    </row>
    <row r="48" spans="2:21" ht="15" customHeight="1" x14ac:dyDescent="0.3">
      <c r="C48" s="1" t="s">
        <v>419</v>
      </c>
      <c r="H48" s="1">
        <v>124000</v>
      </c>
      <c r="I48" s="1">
        <f>H84</f>
        <v>220000</v>
      </c>
      <c r="J48" s="1">
        <f>I84</f>
        <v>75000</v>
      </c>
    </row>
    <row r="49" spans="2:14" ht="5.0999999999999996" customHeight="1" x14ac:dyDescent="0.3"/>
    <row r="50" spans="2:14" ht="15" customHeight="1" x14ac:dyDescent="0.3">
      <c r="B50" s="311" t="s">
        <v>385</v>
      </c>
      <c r="C50" s="311"/>
      <c r="D50" s="311"/>
      <c r="E50" s="311"/>
      <c r="F50" s="311"/>
      <c r="G50" s="311"/>
      <c r="H50" s="311">
        <f>H51</f>
        <v>726230</v>
      </c>
      <c r="I50" s="311">
        <f>I51</f>
        <v>292950</v>
      </c>
      <c r="J50" s="311">
        <f>J51</f>
        <v>782690</v>
      </c>
      <c r="K50" s="311">
        <f>K51</f>
        <v>63500</v>
      </c>
      <c r="M50" s="311">
        <f>M51</f>
        <v>0</v>
      </c>
    </row>
    <row r="51" spans="2:14" ht="15" customHeight="1" x14ac:dyDescent="0.3">
      <c r="C51" s="1" t="s">
        <v>386</v>
      </c>
      <c r="H51" s="1">
        <f>751230-25000</f>
        <v>726230</v>
      </c>
      <c r="I51" s="1">
        <v>292950</v>
      </c>
      <c r="J51" s="1">
        <v>782690</v>
      </c>
      <c r="K51" s="1">
        <v>63500</v>
      </c>
      <c r="L51" s="38"/>
      <c r="N51" s="38"/>
    </row>
    <row r="52" spans="2:14" ht="15" customHeight="1" x14ac:dyDescent="0.3">
      <c r="C52" s="316" t="s">
        <v>392</v>
      </c>
      <c r="D52" s="317"/>
      <c r="E52" s="317"/>
      <c r="F52" s="317"/>
      <c r="G52" s="317"/>
      <c r="H52" s="317">
        <v>147850</v>
      </c>
      <c r="I52" s="316"/>
      <c r="J52" s="316"/>
      <c r="K52" s="316"/>
      <c r="M52" s="316"/>
    </row>
    <row r="53" spans="2:14" ht="5.0999999999999996" customHeight="1" x14ac:dyDescent="0.3"/>
    <row r="54" spans="2:14" ht="15" customHeight="1" x14ac:dyDescent="0.3">
      <c r="B54" s="311" t="s">
        <v>431</v>
      </c>
      <c r="C54" s="311"/>
      <c r="D54" s="311"/>
      <c r="E54" s="311"/>
      <c r="F54" s="311"/>
      <c r="G54" s="311"/>
      <c r="H54" s="311">
        <f>SUM(H55:H60)</f>
        <v>200160</v>
      </c>
      <c r="I54" s="311">
        <f>SUM(I55:I76)</f>
        <v>1124309</v>
      </c>
      <c r="J54" s="311">
        <f>SUM(J55:J76)</f>
        <v>787084</v>
      </c>
      <c r="K54" s="311">
        <f>SUM(K55:K76)</f>
        <v>436312</v>
      </c>
      <c r="M54" s="311">
        <f>SUM(M55:M76)</f>
        <v>0</v>
      </c>
    </row>
    <row r="55" spans="2:14" ht="15" customHeight="1" x14ac:dyDescent="0.3">
      <c r="H55" s="1">
        <v>5000</v>
      </c>
      <c r="I55" s="1">
        <v>112000</v>
      </c>
      <c r="J55" s="1">
        <v>1200</v>
      </c>
      <c r="K55" s="440">
        <v>385000</v>
      </c>
    </row>
    <row r="56" spans="2:14" ht="15" customHeight="1" x14ac:dyDescent="0.3">
      <c r="H56" s="1">
        <f>12400+21700</f>
        <v>34100</v>
      </c>
      <c r="I56" s="1">
        <v>39980</v>
      </c>
      <c r="J56" s="1">
        <v>45000</v>
      </c>
      <c r="K56" s="1">
        <v>51312</v>
      </c>
    </row>
    <row r="57" spans="2:14" ht="15" customHeight="1" x14ac:dyDescent="0.3">
      <c r="H57" s="1">
        <v>11260</v>
      </c>
      <c r="I57" s="1">
        <v>50192</v>
      </c>
      <c r="J57" s="1">
        <v>31000</v>
      </c>
    </row>
    <row r="58" spans="2:14" ht="15" customHeight="1" x14ac:dyDescent="0.3">
      <c r="H58" s="1">
        <v>80900</v>
      </c>
      <c r="I58" s="1">
        <v>6000</v>
      </c>
      <c r="J58" s="1">
        <f>1600+1700</f>
        <v>3300</v>
      </c>
    </row>
    <row r="59" spans="2:14" ht="15" customHeight="1" x14ac:dyDescent="0.3">
      <c r="H59" s="1">
        <v>60900</v>
      </c>
      <c r="I59" s="1">
        <v>40000</v>
      </c>
      <c r="J59" s="1">
        <v>49984</v>
      </c>
    </row>
    <row r="60" spans="2:14" ht="15" customHeight="1" x14ac:dyDescent="0.3">
      <c r="H60" s="1">
        <v>8000</v>
      </c>
      <c r="I60" s="1">
        <v>126220</v>
      </c>
      <c r="J60" s="1">
        <v>113000</v>
      </c>
    </row>
    <row r="61" spans="2:14" ht="15" customHeight="1" x14ac:dyDescent="0.3">
      <c r="I61" s="1">
        <v>39000</v>
      </c>
      <c r="J61" s="1">
        <v>5500</v>
      </c>
    </row>
    <row r="62" spans="2:14" ht="15" customHeight="1" x14ac:dyDescent="0.3">
      <c r="I62" s="329">
        <v>32000</v>
      </c>
      <c r="J62" s="329">
        <v>79000</v>
      </c>
      <c r="K62" s="132"/>
      <c r="M62" s="132"/>
    </row>
    <row r="63" spans="2:14" ht="15" customHeight="1" x14ac:dyDescent="0.3">
      <c r="I63" s="1">
        <v>30590</v>
      </c>
      <c r="J63" s="329">
        <v>61000</v>
      </c>
    </row>
    <row r="64" spans="2:14" ht="15" customHeight="1" x14ac:dyDescent="0.3">
      <c r="I64" s="1">
        <v>77300</v>
      </c>
      <c r="J64" s="329">
        <f>156000+15900</f>
        <v>171900</v>
      </c>
    </row>
    <row r="65" spans="2:13" ht="15" customHeight="1" x14ac:dyDescent="0.3">
      <c r="I65" s="1">
        <v>85000</v>
      </c>
      <c r="J65" s="1">
        <v>28000</v>
      </c>
    </row>
    <row r="66" spans="2:13" ht="15" customHeight="1" x14ac:dyDescent="0.3">
      <c r="I66" s="1">
        <v>67200</v>
      </c>
      <c r="J66" s="1">
        <v>49000</v>
      </c>
    </row>
    <row r="67" spans="2:13" ht="15" customHeight="1" x14ac:dyDescent="0.3">
      <c r="I67" s="1">
        <v>40647</v>
      </c>
      <c r="J67" s="1">
        <v>19000</v>
      </c>
    </row>
    <row r="68" spans="2:13" ht="15" customHeight="1" x14ac:dyDescent="0.3">
      <c r="I68" s="1">
        <v>147000</v>
      </c>
      <c r="J68" s="132">
        <v>29000</v>
      </c>
    </row>
    <row r="69" spans="2:13" ht="15" customHeight="1" x14ac:dyDescent="0.3">
      <c r="I69" s="1">
        <v>18000</v>
      </c>
      <c r="J69" s="329">
        <v>101200</v>
      </c>
    </row>
    <row r="70" spans="2:13" ht="15" customHeight="1" x14ac:dyDescent="0.3">
      <c r="I70" s="1">
        <v>25800</v>
      </c>
    </row>
    <row r="71" spans="2:13" ht="15" customHeight="1" x14ac:dyDescent="0.3">
      <c r="I71" s="1">
        <v>14600</v>
      </c>
    </row>
    <row r="72" spans="2:13" ht="15" customHeight="1" x14ac:dyDescent="0.3">
      <c r="I72" s="1">
        <v>57780</v>
      </c>
    </row>
    <row r="73" spans="2:13" ht="15" customHeight="1" x14ac:dyDescent="0.3">
      <c r="I73" s="1">
        <v>109000</v>
      </c>
    </row>
    <row r="74" spans="2:13" ht="15" customHeight="1" x14ac:dyDescent="0.3">
      <c r="I74" s="1">
        <v>6000</v>
      </c>
    </row>
    <row r="75" spans="2:13" ht="15" customHeight="1" x14ac:dyDescent="0.3"/>
    <row r="76" spans="2:13" ht="15" customHeight="1" x14ac:dyDescent="0.3"/>
    <row r="77" spans="2:13" ht="5.0999999999999996" customHeight="1" x14ac:dyDescent="0.3"/>
    <row r="78" spans="2:13" ht="15" customHeight="1" x14ac:dyDescent="0.3">
      <c r="B78" s="311" t="s">
        <v>381</v>
      </c>
      <c r="C78" s="311"/>
      <c r="D78" s="311"/>
      <c r="E78" s="311">
        <v>100000</v>
      </c>
      <c r="F78" s="311">
        <v>100000</v>
      </c>
      <c r="G78" s="311">
        <v>100000</v>
      </c>
      <c r="H78" s="311">
        <v>50000</v>
      </c>
      <c r="I78" s="311">
        <v>100000</v>
      </c>
      <c r="J78" s="311">
        <v>100000</v>
      </c>
      <c r="K78" s="311"/>
      <c r="M78" s="311"/>
    </row>
    <row r="79" spans="2:13" ht="5.0999999999999996" customHeight="1" x14ac:dyDescent="0.3"/>
    <row r="80" spans="2:13" ht="15" customHeight="1" x14ac:dyDescent="0.3">
      <c r="B80" s="311" t="s">
        <v>497</v>
      </c>
      <c r="C80" s="311"/>
      <c r="D80" s="311"/>
      <c r="E80" s="311"/>
      <c r="F80" s="311"/>
      <c r="G80" s="311"/>
      <c r="H80" s="311">
        <v>100000</v>
      </c>
      <c r="I80" s="311"/>
      <c r="J80" s="311"/>
      <c r="K80" s="311"/>
      <c r="M80" s="311"/>
    </row>
    <row r="81" spans="2:13" ht="5.0999999999999996" customHeight="1" x14ac:dyDescent="0.3"/>
    <row r="82" spans="2:13" ht="15" customHeight="1" x14ac:dyDescent="0.3">
      <c r="B82" s="309" t="s">
        <v>418</v>
      </c>
      <c r="C82" s="309"/>
      <c r="D82" s="309"/>
      <c r="E82" s="309"/>
      <c r="F82" s="309"/>
      <c r="G82" s="309"/>
      <c r="H82" s="309">
        <f>H83+H84</f>
        <v>430000</v>
      </c>
      <c r="I82" s="309">
        <f>I83+I84</f>
        <v>142500</v>
      </c>
      <c r="J82" s="309">
        <f>J83+J84</f>
        <v>0</v>
      </c>
      <c r="K82" s="309">
        <f>K83+K84</f>
        <v>0</v>
      </c>
      <c r="M82" s="309">
        <f>M83+M84</f>
        <v>0</v>
      </c>
    </row>
    <row r="83" spans="2:13" ht="15" customHeight="1" x14ac:dyDescent="0.3">
      <c r="C83" s="1" t="s">
        <v>394</v>
      </c>
      <c r="H83" s="1">
        <f>40*4500+30000</f>
        <v>210000</v>
      </c>
      <c r="I83" s="1">
        <f>4500*15</f>
        <v>67500</v>
      </c>
    </row>
    <row r="84" spans="2:13" ht="15" customHeight="1" x14ac:dyDescent="0.3">
      <c r="C84" s="1" t="s">
        <v>396</v>
      </c>
      <c r="H84" s="1">
        <f>70000+25000*6</f>
        <v>220000</v>
      </c>
      <c r="I84" s="1">
        <f>50000+25000*1</f>
        <v>75000</v>
      </c>
    </row>
    <row r="85" spans="2:13" ht="5.0999999999999996" customHeight="1" x14ac:dyDescent="0.3"/>
    <row r="86" spans="2:13" ht="6" customHeight="1" x14ac:dyDescent="0.3"/>
    <row r="87" spans="2:13" ht="15" customHeight="1" x14ac:dyDescent="0.3">
      <c r="B87" s="311" t="s">
        <v>534</v>
      </c>
      <c r="C87" s="311"/>
      <c r="D87" s="311"/>
      <c r="E87" s="311"/>
      <c r="F87" s="311"/>
      <c r="G87" s="311"/>
      <c r="H87" s="311">
        <f>SUM(H88:H94)</f>
        <v>607374</v>
      </c>
      <c r="I87" s="311">
        <f>SUM(I88:I94)</f>
        <v>98873</v>
      </c>
      <c r="J87" s="311">
        <f>SUM(J88:J94)</f>
        <v>0</v>
      </c>
      <c r="K87" s="311">
        <f>SUM(K88:K94)</f>
        <v>0</v>
      </c>
      <c r="M87" s="311">
        <f>SUM(M88:M94)</f>
        <v>0</v>
      </c>
    </row>
    <row r="88" spans="2:13" ht="15" customHeight="1" x14ac:dyDescent="0.3">
      <c r="C88" s="1" t="s">
        <v>377</v>
      </c>
      <c r="H88" s="1">
        <v>20874</v>
      </c>
      <c r="I88" s="1">
        <f>30900+16850</f>
        <v>47750</v>
      </c>
      <c r="J88" s="289"/>
    </row>
    <row r="89" spans="2:13" ht="15" customHeight="1" x14ac:dyDescent="0.3">
      <c r="C89" s="38" t="s">
        <v>383</v>
      </c>
      <c r="D89" s="38"/>
      <c r="E89" s="38"/>
      <c r="F89" s="38"/>
      <c r="G89" s="38"/>
      <c r="H89" s="1">
        <v>300000</v>
      </c>
      <c r="I89" s="1">
        <f>37623+13500</f>
        <v>51123</v>
      </c>
    </row>
    <row r="90" spans="2:13" ht="15" customHeight="1" x14ac:dyDescent="0.3">
      <c r="C90" s="1" t="s">
        <v>384</v>
      </c>
      <c r="H90" s="1">
        <v>200000</v>
      </c>
    </row>
    <row r="91" spans="2:13" ht="15" customHeight="1" x14ac:dyDescent="0.3">
      <c r="C91" s="38" t="s">
        <v>382</v>
      </c>
      <c r="D91" s="38"/>
      <c r="E91" s="38"/>
      <c r="F91" s="38"/>
      <c r="G91" s="38"/>
      <c r="H91" s="1">
        <v>42500</v>
      </c>
    </row>
    <row r="92" spans="2:13" ht="15" customHeight="1" x14ac:dyDescent="0.3">
      <c r="C92" s="1" t="s">
        <v>378</v>
      </c>
      <c r="H92" s="1">
        <v>21800</v>
      </c>
    </row>
    <row r="93" spans="2:13" ht="15" customHeight="1" x14ac:dyDescent="0.3">
      <c r="C93" s="1" t="s">
        <v>379</v>
      </c>
      <c r="H93" s="1">
        <v>11000</v>
      </c>
    </row>
    <row r="94" spans="2:13" ht="15" customHeight="1" x14ac:dyDescent="0.3">
      <c r="C94" s="1" t="s">
        <v>380</v>
      </c>
      <c r="H94" s="1">
        <v>11200</v>
      </c>
    </row>
    <row r="95" spans="2:13" ht="15" customHeight="1" x14ac:dyDescent="0.3">
      <c r="C95" s="1" t="s">
        <v>390</v>
      </c>
      <c r="H95" s="1">
        <f>4000+15000+6000</f>
        <v>25000</v>
      </c>
    </row>
  </sheetData>
  <mergeCells count="1">
    <mergeCell ref="B2:C2"/>
  </mergeCells>
  <phoneticPr fontId="2" type="noConversion"/>
  <hyperlinks>
    <hyperlink ref="O33" r:id="rId1" display="편의점/@+1" xr:uid="{4B1FB744-108C-4AF1-A7B4-C8661A93C622}"/>
  </hyperlinks>
  <pageMargins left="0.7" right="0.7" top="0.75" bottom="0.75" header="0.3" footer="0.3"/>
  <pageSetup paperSize="9" orientation="portrait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9711C-81B9-47C1-B422-90506F465F9D}">
  <sheetPr>
    <tabColor rgb="FF0CF454"/>
  </sheetPr>
  <dimension ref="A1:P196"/>
  <sheetViews>
    <sheetView tabSelected="1" zoomScale="110" zoomScaleNormal="110" workbookViewId="0">
      <selection activeCell="E87" sqref="E87"/>
    </sheetView>
  </sheetViews>
  <sheetFormatPr defaultColWidth="8.625" defaultRowHeight="16.5" x14ac:dyDescent="0.3"/>
  <cols>
    <col min="1" max="1" width="1.625" style="1" customWidth="1"/>
    <col min="2" max="2" width="18.375" style="1" customWidth="1"/>
    <col min="3" max="3" width="16.25" style="1" customWidth="1"/>
    <col min="4" max="4" width="14.75" style="1" customWidth="1"/>
    <col min="5" max="5" width="15.25" style="1" customWidth="1"/>
    <col min="6" max="6" width="16.75" style="1" customWidth="1"/>
    <col min="7" max="7" width="15.5" style="1" customWidth="1"/>
    <col min="8" max="8" width="11.5" style="1" bestFit="1" customWidth="1"/>
    <col min="9" max="9" width="14.625" style="1" bestFit="1" customWidth="1"/>
    <col min="10" max="10" width="14.125" style="1" customWidth="1"/>
    <col min="11" max="11" width="13.125" style="1" customWidth="1"/>
    <col min="12" max="12" width="13.625" style="1" customWidth="1"/>
    <col min="13" max="13" width="12.375" style="1" customWidth="1"/>
    <col min="14" max="14" width="11.625" style="1" customWidth="1"/>
    <col min="15" max="15" width="11.875" style="1" customWidth="1"/>
    <col min="16" max="16384" width="8.625" style="1"/>
  </cols>
  <sheetData>
    <row r="1" spans="2:12" ht="4.5" customHeight="1" x14ac:dyDescent="0.3">
      <c r="B1" s="122"/>
      <c r="J1" s="45"/>
      <c r="K1" s="46"/>
    </row>
    <row r="2" spans="2:12" hidden="1" x14ac:dyDescent="0.25">
      <c r="B2" s="47" t="s">
        <v>205</v>
      </c>
      <c r="G2" s="48" t="s">
        <v>33</v>
      </c>
      <c r="J2" s="45"/>
      <c r="K2" s="46"/>
    </row>
    <row r="3" spans="2:12" hidden="1" x14ac:dyDescent="0.3">
      <c r="B3" s="9" t="s">
        <v>34</v>
      </c>
      <c r="C3" s="10" t="s">
        <v>35</v>
      </c>
      <c r="D3" s="452" t="s">
        <v>36</v>
      </c>
      <c r="E3" s="453"/>
      <c r="F3" s="454" t="s">
        <v>37</v>
      </c>
      <c r="G3" s="446"/>
      <c r="J3" s="45"/>
      <c r="K3" s="46"/>
    </row>
    <row r="4" spans="2:12" hidden="1" x14ac:dyDescent="0.3">
      <c r="B4" s="9" t="s">
        <v>38</v>
      </c>
      <c r="C4" s="14">
        <f>SUM(D4,F4)</f>
        <v>1895000</v>
      </c>
      <c r="D4" s="452">
        <f>SUM(E5:E8)</f>
        <v>5950000</v>
      </c>
      <c r="E4" s="453"/>
      <c r="F4" s="454">
        <f>SUM(G5:G13)</f>
        <v>-4055000</v>
      </c>
      <c r="G4" s="446"/>
      <c r="J4" s="45"/>
      <c r="K4" s="46"/>
    </row>
    <row r="5" spans="2:12" hidden="1" x14ac:dyDescent="0.3">
      <c r="D5" s="17" t="s">
        <v>39</v>
      </c>
      <c r="E5" s="1">
        <v>1650000</v>
      </c>
      <c r="F5" s="17" t="s">
        <v>40</v>
      </c>
      <c r="G5" s="1">
        <v>-700000</v>
      </c>
      <c r="J5" s="45"/>
      <c r="K5" s="46"/>
    </row>
    <row r="6" spans="2:12" hidden="1" x14ac:dyDescent="0.3">
      <c r="D6" s="17" t="s">
        <v>41</v>
      </c>
      <c r="E6" s="1">
        <v>1000000</v>
      </c>
      <c r="F6" s="17" t="s">
        <v>42</v>
      </c>
      <c r="G6" s="1">
        <v>-400000</v>
      </c>
      <c r="J6" s="45"/>
      <c r="K6" s="46"/>
      <c r="L6" s="50"/>
    </row>
    <row r="7" spans="2:12" hidden="1" x14ac:dyDescent="0.3">
      <c r="D7" s="17" t="s">
        <v>43</v>
      </c>
      <c r="E7" s="1">
        <v>2800000</v>
      </c>
      <c r="F7" s="17" t="s">
        <v>44</v>
      </c>
      <c r="G7" s="1">
        <v>-300000</v>
      </c>
      <c r="J7" s="45"/>
      <c r="K7" s="46"/>
    </row>
    <row r="8" spans="2:12" hidden="1" x14ac:dyDescent="0.3">
      <c r="D8" s="1" t="s">
        <v>45</v>
      </c>
      <c r="E8" s="1">
        <v>500000</v>
      </c>
      <c r="F8" s="17" t="s">
        <v>46</v>
      </c>
      <c r="G8" s="1">
        <f>-(460000+200000)-100000</f>
        <v>-760000</v>
      </c>
      <c r="J8" s="51"/>
    </row>
    <row r="9" spans="2:12" hidden="1" x14ac:dyDescent="0.3">
      <c r="F9" s="17" t="s">
        <v>47</v>
      </c>
      <c r="G9" s="1">
        <v>-400000</v>
      </c>
      <c r="J9" s="51"/>
    </row>
    <row r="10" spans="2:12" hidden="1" x14ac:dyDescent="0.3">
      <c r="F10" s="17" t="s">
        <v>48</v>
      </c>
      <c r="G10" s="1">
        <f>-(120000000*0.0425/12)-120000</f>
        <v>-545000</v>
      </c>
      <c r="J10" s="52"/>
    </row>
    <row r="11" spans="2:12" hidden="1" x14ac:dyDescent="0.3">
      <c r="F11" s="17" t="s">
        <v>49</v>
      </c>
      <c r="G11" s="1">
        <v>-225000</v>
      </c>
      <c r="J11" s="46"/>
    </row>
    <row r="12" spans="2:12" hidden="1" x14ac:dyDescent="0.3">
      <c r="F12" s="17" t="s">
        <v>50</v>
      </c>
      <c r="G12" s="1">
        <v>-225000</v>
      </c>
      <c r="J12" s="53"/>
    </row>
    <row r="13" spans="2:12" hidden="1" x14ac:dyDescent="0.3">
      <c r="F13" s="127" t="s">
        <v>51</v>
      </c>
      <c r="G13" s="128">
        <v>-500000</v>
      </c>
      <c r="J13" s="53"/>
    </row>
    <row r="14" spans="2:12" hidden="1" x14ac:dyDescent="0.3">
      <c r="F14" s="17"/>
      <c r="J14" s="53"/>
    </row>
    <row r="15" spans="2:12" hidden="1" x14ac:dyDescent="0.3">
      <c r="B15" s="47" t="s">
        <v>227</v>
      </c>
    </row>
    <row r="16" spans="2:12" hidden="1" x14ac:dyDescent="0.3">
      <c r="B16" s="9" t="s">
        <v>34</v>
      </c>
      <c r="C16" s="10" t="s">
        <v>35</v>
      </c>
      <c r="D16" s="452" t="s">
        <v>36</v>
      </c>
      <c r="E16" s="453"/>
      <c r="F16" s="454" t="s">
        <v>37</v>
      </c>
      <c r="G16" s="446"/>
      <c r="H16" s="20" t="s">
        <v>52</v>
      </c>
    </row>
    <row r="17" spans="2:15" hidden="1" x14ac:dyDescent="0.3">
      <c r="B17" s="9"/>
      <c r="C17" s="130">
        <v>1500000</v>
      </c>
      <c r="D17" s="452">
        <f>SUM(E18:E24)</f>
        <v>5125000</v>
      </c>
      <c r="E17" s="453"/>
      <c r="F17" s="454">
        <f>SUM(G18:G28)</f>
        <v>-3625000</v>
      </c>
      <c r="G17" s="446"/>
      <c r="H17" s="69" t="s">
        <v>89</v>
      </c>
    </row>
    <row r="18" spans="2:15" hidden="1" x14ac:dyDescent="0.3">
      <c r="B18" s="55" t="s">
        <v>53</v>
      </c>
      <c r="C18" s="56">
        <f>C19+C20+C21</f>
        <v>34500000</v>
      </c>
      <c r="D18" s="17" t="s">
        <v>39</v>
      </c>
      <c r="E18" s="1">
        <v>1690000</v>
      </c>
      <c r="F18" s="156" t="s">
        <v>40</v>
      </c>
      <c r="G18" s="54">
        <v>-700000</v>
      </c>
      <c r="H18" s="103" t="s">
        <v>118</v>
      </c>
    </row>
    <row r="19" spans="2:15" hidden="1" x14ac:dyDescent="0.3">
      <c r="B19" s="57" t="s">
        <v>56</v>
      </c>
      <c r="C19" s="57">
        <f>-3000000+4000000</f>
        <v>1000000</v>
      </c>
      <c r="D19" s="17" t="s">
        <v>41</v>
      </c>
      <c r="E19" s="1">
        <v>0</v>
      </c>
      <c r="F19" s="17" t="s">
        <v>42</v>
      </c>
      <c r="G19" s="1">
        <v>-400000</v>
      </c>
    </row>
    <row r="20" spans="2:15" hidden="1" x14ac:dyDescent="0.3">
      <c r="B20" s="57" t="s">
        <v>57</v>
      </c>
      <c r="C20" s="60">
        <f>현자산!E14</f>
        <v>18500000</v>
      </c>
      <c r="D20" s="111" t="s">
        <v>54</v>
      </c>
      <c r="E20" s="102"/>
      <c r="F20" s="17" t="s">
        <v>98</v>
      </c>
      <c r="G20" s="1">
        <v>-100000</v>
      </c>
      <c r="H20" s="50" t="s">
        <v>55</v>
      </c>
    </row>
    <row r="21" spans="2:15" hidden="1" x14ac:dyDescent="0.3">
      <c r="B21" s="57" t="s">
        <v>58</v>
      </c>
      <c r="C21" s="57">
        <v>15000000</v>
      </c>
      <c r="D21" s="117" t="s">
        <v>96</v>
      </c>
      <c r="E21" s="104">
        <v>300000</v>
      </c>
      <c r="F21" s="135" t="s">
        <v>48</v>
      </c>
      <c r="G21" s="68">
        <f>-ROUND((113000000*0.0425/12)+120000,-3)</f>
        <v>-520000</v>
      </c>
    </row>
    <row r="22" spans="2:15" ht="17.25" hidden="1" thickBot="1" x14ac:dyDescent="0.35">
      <c r="B22" s="65" t="s">
        <v>90</v>
      </c>
      <c r="C22" s="65">
        <v>-50000000</v>
      </c>
      <c r="D22" s="117" t="s">
        <v>97</v>
      </c>
      <c r="E22" s="104"/>
      <c r="F22" s="58" t="s">
        <v>104</v>
      </c>
      <c r="G22" s="59">
        <f>-400000-210000-200000</f>
        <v>-810000</v>
      </c>
      <c r="H22" s="50" t="s">
        <v>102</v>
      </c>
    </row>
    <row r="23" spans="2:15" ht="17.25" hidden="1" thickBot="1" x14ac:dyDescent="0.35">
      <c r="B23" s="65" t="s">
        <v>91</v>
      </c>
      <c r="C23" s="65">
        <v>-2400000</v>
      </c>
      <c r="D23" s="61" t="s">
        <v>43</v>
      </c>
      <c r="E23" s="62">
        <v>0</v>
      </c>
      <c r="F23" s="17" t="s">
        <v>94</v>
      </c>
      <c r="G23" s="1">
        <v>-100000</v>
      </c>
    </row>
    <row r="24" spans="2:15" ht="17.25" hidden="1" thickBot="1" x14ac:dyDescent="0.35">
      <c r="B24" s="71" t="s">
        <v>62</v>
      </c>
      <c r="C24" s="72">
        <f>9370000</f>
        <v>9370000</v>
      </c>
      <c r="D24" s="63" t="s">
        <v>59</v>
      </c>
      <c r="E24" s="64">
        <f>(-F17+C17-SUM(E18:E23))</f>
        <v>3135000</v>
      </c>
      <c r="F24" s="17" t="s">
        <v>95</v>
      </c>
      <c r="G24" s="1">
        <f>-600000/3</f>
        <v>-200000</v>
      </c>
    </row>
    <row r="25" spans="2:15" hidden="1" x14ac:dyDescent="0.3">
      <c r="B25" s="17" t="s">
        <v>59</v>
      </c>
      <c r="C25" s="17">
        <f>-E24*4</f>
        <v>-12540000</v>
      </c>
      <c r="F25" s="135" t="s">
        <v>49</v>
      </c>
      <c r="G25" s="68">
        <f>-ROUND(C24*0.04/12,-3)</f>
        <v>-31000</v>
      </c>
      <c r="H25" s="69" t="s">
        <v>61</v>
      </c>
    </row>
    <row r="26" spans="2:15" hidden="1" x14ac:dyDescent="0.3">
      <c r="B26" s="55" t="s">
        <v>66</v>
      </c>
      <c r="C26" s="76">
        <f>C18+C24+C25+E28</f>
        <v>19930000</v>
      </c>
      <c r="D26" s="66" t="s">
        <v>60</v>
      </c>
      <c r="E26" s="67">
        <v>29400000</v>
      </c>
      <c r="F26" s="127" t="s">
        <v>93</v>
      </c>
      <c r="G26" s="128">
        <v>-500000</v>
      </c>
      <c r="H26" s="103"/>
    </row>
    <row r="27" spans="2:15" ht="17.25" hidden="1" thickBot="1" x14ac:dyDescent="0.35">
      <c r="D27" s="112">
        <v>46104</v>
      </c>
      <c r="E27" s="70">
        <v>18000000</v>
      </c>
      <c r="F27" s="118" t="s">
        <v>50</v>
      </c>
      <c r="G27" s="119">
        <f>-114000</f>
        <v>-114000</v>
      </c>
      <c r="H27" s="50" t="s">
        <v>63</v>
      </c>
    </row>
    <row r="28" spans="2:15" ht="18" hidden="1" thickTop="1" thickBot="1" x14ac:dyDescent="0.35">
      <c r="D28" s="59"/>
      <c r="E28" s="73">
        <f>E27-E26</f>
        <v>-11400000</v>
      </c>
      <c r="F28" s="118" t="s">
        <v>64</v>
      </c>
      <c r="G28" s="119">
        <f>-(150000*12)/12</f>
        <v>-150000</v>
      </c>
      <c r="H28" s="50" t="s">
        <v>65</v>
      </c>
    </row>
    <row r="29" spans="2:15" ht="17.25" hidden="1" thickTop="1" x14ac:dyDescent="0.3">
      <c r="B29" s="55"/>
      <c r="C29" s="55"/>
      <c r="D29" s="114"/>
      <c r="E29" s="77"/>
      <c r="F29" s="77"/>
      <c r="G29" s="78"/>
      <c r="H29" s="79" t="s">
        <v>67</v>
      </c>
    </row>
    <row r="30" spans="2:15" hidden="1" x14ac:dyDescent="0.3">
      <c r="B30" s="55"/>
      <c r="C30" s="55"/>
      <c r="D30" s="114"/>
      <c r="E30" s="77"/>
    </row>
    <row r="31" spans="2:15" ht="18" x14ac:dyDescent="0.3">
      <c r="B31" s="83" t="s">
        <v>105</v>
      </c>
      <c r="C31" s="84"/>
      <c r="M31" s="282" t="s">
        <v>322</v>
      </c>
      <c r="N31" s="284"/>
      <c r="O31" s="284"/>
    </row>
    <row r="32" spans="2:15" x14ac:dyDescent="0.3">
      <c r="B32" s="455" t="s">
        <v>238</v>
      </c>
      <c r="C32" s="456"/>
      <c r="D32" s="457" t="s">
        <v>239</v>
      </c>
      <c r="E32" s="458"/>
      <c r="F32" s="11" t="s">
        <v>68</v>
      </c>
      <c r="G32" s="49" t="s">
        <v>69</v>
      </c>
      <c r="H32" s="50" t="s">
        <v>255</v>
      </c>
      <c r="I32" s="85"/>
      <c r="K32" s="85"/>
      <c r="M32" s="283" t="s">
        <v>325</v>
      </c>
      <c r="N32" s="284"/>
      <c r="O32" s="284"/>
    </row>
    <row r="33" spans="2:15" x14ac:dyDescent="0.3">
      <c r="B33" s="455">
        <f>ROUND(2203450*1,-4)</f>
        <v>2200000</v>
      </c>
      <c r="C33" s="456"/>
      <c r="D33" s="457">
        <f>ROUND(1542420*1,-4)</f>
        <v>1540000</v>
      </c>
      <c r="E33" s="458"/>
      <c r="F33" s="86">
        <v>685000000</v>
      </c>
      <c r="G33" s="49" t="s">
        <v>70</v>
      </c>
      <c r="H33" s="20" t="s">
        <v>254</v>
      </c>
      <c r="I33" s="69"/>
      <c r="J33" s="85"/>
      <c r="K33" s="85"/>
      <c r="M33" s="283" t="s">
        <v>324</v>
      </c>
      <c r="N33" s="284"/>
      <c r="O33" s="284"/>
    </row>
    <row r="34" spans="2:15" x14ac:dyDescent="0.3">
      <c r="C34" s="136"/>
      <c r="D34" s="136"/>
      <c r="E34" s="136"/>
      <c r="I34" s="226"/>
      <c r="J34" s="69"/>
      <c r="K34" s="85"/>
    </row>
    <row r="35" spans="2:15" x14ac:dyDescent="0.3">
      <c r="B35" s="47" t="s">
        <v>228</v>
      </c>
      <c r="D35" s="231"/>
      <c r="E35" s="231" t="s">
        <v>540</v>
      </c>
      <c r="F35" s="231">
        <f>ROUND(C38+C46+(650000000+250000000-0),-6)</f>
        <v>1111000000</v>
      </c>
      <c r="G35" s="231">
        <f>ROUND(C45+C46+(650000000+250000000-'보증잔액 Table'!G4),-6)</f>
        <v>1080000000</v>
      </c>
      <c r="H35" s="227" t="s">
        <v>211</v>
      </c>
    </row>
    <row r="36" spans="2:15" x14ac:dyDescent="0.3">
      <c r="B36" s="9" t="s">
        <v>34</v>
      </c>
      <c r="C36" s="10" t="s">
        <v>35</v>
      </c>
      <c r="D36" s="452" t="s">
        <v>36</v>
      </c>
      <c r="E36" s="453"/>
      <c r="F36" s="454" t="s">
        <v>37</v>
      </c>
      <c r="G36" s="446"/>
      <c r="H36" s="20" t="s">
        <v>222</v>
      </c>
    </row>
    <row r="37" spans="2:15" x14ac:dyDescent="0.3">
      <c r="B37" s="9"/>
      <c r="C37" s="130">
        <f>C17-500000</f>
        <v>1000000</v>
      </c>
      <c r="D37" s="452">
        <f>SUM(E38:E44)</f>
        <v>4589500</v>
      </c>
      <c r="E37" s="453"/>
      <c r="F37" s="454">
        <f>SUM(G38:G49)</f>
        <v>-3589500</v>
      </c>
      <c r="G37" s="446"/>
      <c r="H37" s="69" t="s">
        <v>297</v>
      </c>
    </row>
    <row r="38" spans="2:15" ht="17.25" thickBot="1" x14ac:dyDescent="0.35">
      <c r="B38" s="55" t="s">
        <v>53</v>
      </c>
      <c r="C38" s="56">
        <f>C26+C39+(300000*2+140000)</f>
        <v>20670000</v>
      </c>
      <c r="D38" s="17" t="s">
        <v>39</v>
      </c>
      <c r="E38" s="1">
        <f>ROUND(E18*1,-4)</f>
        <v>1690000</v>
      </c>
      <c r="F38" s="156" t="s">
        <v>130</v>
      </c>
      <c r="G38" s="54">
        <v>-650000</v>
      </c>
      <c r="H38" s="103" t="s">
        <v>417</v>
      </c>
      <c r="I38" s="17"/>
      <c r="J38" s="133"/>
    </row>
    <row r="39" spans="2:15" ht="17.25" thickBot="1" x14ac:dyDescent="0.35">
      <c r="B39" s="149" t="s">
        <v>110</v>
      </c>
      <c r="C39" s="150"/>
      <c r="D39" s="107" t="s">
        <v>71</v>
      </c>
      <c r="E39" s="59">
        <f>B33</f>
        <v>2200000</v>
      </c>
      <c r="F39" s="58" t="s">
        <v>42</v>
      </c>
      <c r="G39" s="59">
        <f>-ROUND((400000*5+0)/12,-3)</f>
        <v>-167000</v>
      </c>
      <c r="H39" s="369" t="s">
        <v>545</v>
      </c>
      <c r="I39" s="370"/>
      <c r="J39" s="370"/>
      <c r="K39" s="370"/>
      <c r="L39" s="370"/>
      <c r="M39" s="370"/>
      <c r="N39" s="370"/>
    </row>
    <row r="40" spans="2:15" x14ac:dyDescent="0.3">
      <c r="B40" s="216" t="s">
        <v>277</v>
      </c>
      <c r="C40" s="256">
        <f>ROUND(-(230000+1500000)-1170000-(3100000-1000000),-4)</f>
        <v>-5000000</v>
      </c>
      <c r="D40" s="137" t="s">
        <v>54</v>
      </c>
      <c r="E40" s="71">
        <f>ROUND(349700*(1+0.5)*0.8+(12000*2)*11/12,0)</f>
        <v>441640</v>
      </c>
      <c r="F40" s="58" t="s">
        <v>98</v>
      </c>
      <c r="G40" s="59">
        <f>-55000-32000-34000-5500-24000</f>
        <v>-150500</v>
      </c>
      <c r="H40" s="88" t="s">
        <v>416</v>
      </c>
      <c r="I40" s="58"/>
      <c r="J40" s="59"/>
    </row>
    <row r="41" spans="2:15" x14ac:dyDescent="0.3">
      <c r="B41" s="148" t="s">
        <v>99</v>
      </c>
      <c r="C41" s="148"/>
      <c r="D41" s="120" t="s">
        <v>101</v>
      </c>
      <c r="E41" s="169">
        <f>ROUND((500000*4+500000*6)/12,-3)</f>
        <v>417000</v>
      </c>
      <c r="F41" s="135" t="s">
        <v>48</v>
      </c>
      <c r="G41" s="68">
        <f>-ROUND(((115640000+0)*0.0412/12)+120000,-3)</f>
        <v>-517000</v>
      </c>
      <c r="H41" s="280" t="s">
        <v>321</v>
      </c>
      <c r="I41" s="17"/>
    </row>
    <row r="42" spans="2:15" ht="17.25" thickBot="1" x14ac:dyDescent="0.35">
      <c r="B42" s="340" t="s">
        <v>100</v>
      </c>
      <c r="C42" s="340">
        <v>-5000000</v>
      </c>
      <c r="D42" s="117" t="s">
        <v>92</v>
      </c>
      <c r="E42" s="121">
        <v>300000</v>
      </c>
      <c r="F42" s="58" t="s">
        <v>46</v>
      </c>
      <c r="G42" s="59">
        <f>ROUND(-165000-207000-30000-19900-(54000*3/12),-3)</f>
        <v>-435000</v>
      </c>
      <c r="H42" s="50" t="s">
        <v>342</v>
      </c>
      <c r="I42" s="58"/>
      <c r="J42" s="59"/>
    </row>
    <row r="43" spans="2:15" ht="17.25" thickBot="1" x14ac:dyDescent="0.35">
      <c r="B43" s="258" t="s">
        <v>62</v>
      </c>
      <c r="C43" s="259"/>
      <c r="D43" s="61" t="s">
        <v>43</v>
      </c>
      <c r="E43" s="62"/>
      <c r="F43" s="55" t="s">
        <v>47</v>
      </c>
      <c r="G43" s="13">
        <f>ROUND(-300000-(600000+360000+100000+250000)/12,-3)</f>
        <v>-409000</v>
      </c>
      <c r="H43" s="50" t="s">
        <v>546</v>
      </c>
      <c r="I43" s="17"/>
    </row>
    <row r="44" spans="2:15" ht="17.25" thickBot="1" x14ac:dyDescent="0.35">
      <c r="B44" s="58" t="s">
        <v>73</v>
      </c>
      <c r="C44" s="59">
        <f>-E44*12</f>
        <v>5509680</v>
      </c>
      <c r="D44" s="80" t="s">
        <v>59</v>
      </c>
      <c r="E44" s="81">
        <f>(-F37+C37-SUM(E38:E43))</f>
        <v>-459140</v>
      </c>
      <c r="F44" s="55" t="s">
        <v>112</v>
      </c>
      <c r="G44" s="47">
        <f>-ROUND(1000000/12,-3)-ROUND(1200000/12,-3)-ROUND(600000/12,-3)</f>
        <v>-233000</v>
      </c>
      <c r="H44" s="235" t="s">
        <v>268</v>
      </c>
      <c r="J44" s="132"/>
    </row>
    <row r="45" spans="2:15" ht="17.25" thickBot="1" x14ac:dyDescent="0.35">
      <c r="B45" s="260" t="s">
        <v>66</v>
      </c>
      <c r="C45" s="261">
        <f>C38+C40+C41+C42+C43+C44</f>
        <v>16179680</v>
      </c>
      <c r="D45" s="430">
        <f>C45-실사용현황!D4</f>
        <v>17749924</v>
      </c>
      <c r="E45" s="348" t="s">
        <v>434</v>
      </c>
      <c r="F45" s="135" t="s">
        <v>49</v>
      </c>
      <c r="G45" s="82">
        <f>-ROUND((C24*0.04/12)+(C43*0.05/12*0.4),-3)</f>
        <v>-31000</v>
      </c>
      <c r="H45" s="88"/>
      <c r="I45" s="134"/>
      <c r="J45" s="47"/>
    </row>
    <row r="46" spans="2:15" x14ac:dyDescent="0.3">
      <c r="B46" s="55" t="s">
        <v>138</v>
      </c>
      <c r="C46" s="56">
        <f>ROUND(현자산!G$19*0.85,-3)</f>
        <v>190755000</v>
      </c>
      <c r="D46" s="433">
        <f>D45-C45</f>
        <v>1570244</v>
      </c>
      <c r="E46" s="350" t="s">
        <v>557</v>
      </c>
      <c r="F46" s="127" t="s">
        <v>270</v>
      </c>
      <c r="G46" s="128">
        <f>-(120000*2+(4500+2400)*30)-ROUND(1400000/12,-4)-(20000+30000)</f>
        <v>-617000</v>
      </c>
      <c r="H46" s="20" t="s">
        <v>548</v>
      </c>
      <c r="I46" s="17"/>
    </row>
    <row r="47" spans="2:15" ht="17.25" thickBot="1" x14ac:dyDescent="0.35">
      <c r="B47" s="425" t="s">
        <v>264</v>
      </c>
      <c r="C47" s="424">
        <f>ROUND((700000000-'보증잔액 Table'!J4),-3)+C$85</f>
        <v>825075000</v>
      </c>
      <c r="D47" s="423" t="s">
        <v>539</v>
      </c>
      <c r="F47" s="135" t="s">
        <v>50</v>
      </c>
      <c r="G47" s="68">
        <v>-120000</v>
      </c>
      <c r="H47" s="116" t="s">
        <v>106</v>
      </c>
      <c r="I47" s="77"/>
      <c r="J47" s="78"/>
    </row>
    <row r="48" spans="2:15" ht="17.25" thickBot="1" x14ac:dyDescent="0.35">
      <c r="B48" s="250" t="s">
        <v>139</v>
      </c>
      <c r="C48" s="470">
        <f>SUM(C45:C47)</f>
        <v>1032009680</v>
      </c>
      <c r="D48" s="472">
        <f>12800000+5800000</f>
        <v>18600000</v>
      </c>
      <c r="E48" s="473" t="s">
        <v>558</v>
      </c>
      <c r="F48" s="74" t="s">
        <v>275</v>
      </c>
      <c r="G48" s="75">
        <f>-ROUND((102770+84080+83070)/12,-3)-ROUND(50000*9/12,-3)</f>
        <v>-60000</v>
      </c>
      <c r="H48" s="116" t="s">
        <v>107</v>
      </c>
      <c r="I48" s="77"/>
      <c r="J48" s="78"/>
    </row>
    <row r="49" spans="2:10" ht="17.25" thickBot="1" x14ac:dyDescent="0.35">
      <c r="B49" s="213" t="s">
        <v>202</v>
      </c>
      <c r="C49" s="214">
        <f>ROUND(1500000*12,-3)+C48</f>
        <v>1050009680</v>
      </c>
      <c r="D49" s="474">
        <f>D48-(E44+G39)*6+C42</f>
        <v>17356840</v>
      </c>
      <c r="E49" s="475" t="s">
        <v>555</v>
      </c>
      <c r="F49" s="471" t="s">
        <v>113</v>
      </c>
      <c r="G49" s="147">
        <f>-600000*4/12</f>
        <v>-200000</v>
      </c>
      <c r="H49" s="20" t="s">
        <v>257</v>
      </c>
      <c r="I49" s="77"/>
      <c r="J49" s="78"/>
    </row>
    <row r="50" spans="2:10" x14ac:dyDescent="0.3">
      <c r="J50" s="78"/>
    </row>
    <row r="51" spans="2:10" x14ac:dyDescent="0.3">
      <c r="B51" s="47" t="s">
        <v>229</v>
      </c>
      <c r="D51" s="231"/>
      <c r="E51" s="231" t="s">
        <v>540</v>
      </c>
      <c r="F51" s="231">
        <f>G35</f>
        <v>1080000000</v>
      </c>
      <c r="G51" s="231">
        <f>ROUND(C61+C62+(650000000+250000000-'보증잔액 Table'!G6),-6)</f>
        <v>1038000000</v>
      </c>
      <c r="H51" s="145" t="s">
        <v>183</v>
      </c>
    </row>
    <row r="52" spans="2:10" x14ac:dyDescent="0.3">
      <c r="B52" s="9" t="s">
        <v>34</v>
      </c>
      <c r="C52" s="10" t="s">
        <v>35</v>
      </c>
      <c r="D52" s="452" t="s">
        <v>36</v>
      </c>
      <c r="E52" s="453"/>
      <c r="F52" s="454" t="s">
        <v>37</v>
      </c>
      <c r="G52" s="446"/>
      <c r="H52" s="20" t="s">
        <v>222</v>
      </c>
    </row>
    <row r="53" spans="2:10" x14ac:dyDescent="0.3">
      <c r="B53" s="9"/>
      <c r="C53" s="130">
        <f>C37</f>
        <v>1000000</v>
      </c>
      <c r="D53" s="452">
        <f>SUM(E54:E60)</f>
        <v>4363400</v>
      </c>
      <c r="E53" s="453"/>
      <c r="F53" s="454">
        <f>SUM(G54:G65)</f>
        <v>-3363400</v>
      </c>
      <c r="G53" s="446"/>
      <c r="H53" s="69" t="s">
        <v>223</v>
      </c>
    </row>
    <row r="54" spans="2:10" ht="17.25" thickBot="1" x14ac:dyDescent="0.35">
      <c r="B54" s="55" t="s">
        <v>53</v>
      </c>
      <c r="C54" s="56">
        <f>C45</f>
        <v>16179680</v>
      </c>
      <c r="D54" s="17" t="s">
        <v>39</v>
      </c>
      <c r="E54" s="1">
        <f>ROUND(E38*1.03,-3)</f>
        <v>1741000</v>
      </c>
      <c r="F54" s="156" t="s">
        <v>130</v>
      </c>
      <c r="G54" s="54">
        <v>-650000</v>
      </c>
      <c r="H54" s="275" t="s">
        <v>296</v>
      </c>
      <c r="I54" s="17"/>
      <c r="J54" s="133"/>
    </row>
    <row r="55" spans="2:10" ht="17.25" thickBot="1" x14ac:dyDescent="0.35">
      <c r="B55" s="149" t="s">
        <v>110</v>
      </c>
      <c r="C55" s="150"/>
      <c r="D55" s="107" t="s">
        <v>71</v>
      </c>
      <c r="E55" s="59">
        <f>B33</f>
        <v>2200000</v>
      </c>
      <c r="F55" s="58" t="s">
        <v>42</v>
      </c>
      <c r="G55" s="59"/>
    </row>
    <row r="56" spans="2:10" x14ac:dyDescent="0.3">
      <c r="B56" s="141" t="s">
        <v>72</v>
      </c>
      <c r="C56" s="113"/>
      <c r="D56" s="137" t="s">
        <v>54</v>
      </c>
      <c r="E56" s="71">
        <f>ROUND(349700*(1+0.5)*0.85,-4)+(12000*2)</f>
        <v>474000</v>
      </c>
      <c r="F56" s="58" t="s">
        <v>98</v>
      </c>
      <c r="G56" s="59">
        <f>-55000-32000-34000-5500-24000</f>
        <v>-150500</v>
      </c>
      <c r="H56" s="88" t="s">
        <v>416</v>
      </c>
      <c r="I56" s="58"/>
      <c r="J56" s="59"/>
    </row>
    <row r="57" spans="2:10" x14ac:dyDescent="0.3">
      <c r="B57" s="148" t="s">
        <v>99</v>
      </c>
      <c r="C57" s="148"/>
      <c r="D57" s="120" t="s">
        <v>101</v>
      </c>
      <c r="E57" s="169">
        <f>ROUND((300000*12+500000*12)/24,-3)</f>
        <v>400000</v>
      </c>
      <c r="F57" s="135" t="s">
        <v>48</v>
      </c>
      <c r="G57" s="68">
        <f>-ROUND(((115640000+C42+C58/2)*0.0412/12)+120000,-3)</f>
        <v>-476000</v>
      </c>
      <c r="I57" s="17"/>
    </row>
    <row r="58" spans="2:10" ht="17.25" thickBot="1" x14ac:dyDescent="0.35">
      <c r="B58" s="340" t="s">
        <v>100</v>
      </c>
      <c r="C58" s="340">
        <v>-14000000</v>
      </c>
      <c r="D58" s="129" t="s">
        <v>92</v>
      </c>
      <c r="E58" s="121">
        <v>300000</v>
      </c>
      <c r="F58" s="58" t="s">
        <v>46</v>
      </c>
      <c r="G58" s="59">
        <f>-165000-207000-30000-19900</f>
        <v>-421900</v>
      </c>
      <c r="H58" s="50" t="s">
        <v>343</v>
      </c>
      <c r="I58" s="58"/>
      <c r="J58" s="59"/>
    </row>
    <row r="59" spans="2:10" ht="17.25" thickBot="1" x14ac:dyDescent="0.35">
      <c r="B59" s="258" t="s">
        <v>62</v>
      </c>
      <c r="C59" s="259"/>
      <c r="D59" s="257" t="s">
        <v>43</v>
      </c>
      <c r="E59" s="62"/>
      <c r="F59" s="55" t="s">
        <v>47</v>
      </c>
      <c r="G59" s="13">
        <f>ROUND(-300000-(600000+360000+100000+250000)/12,-3)</f>
        <v>-409000</v>
      </c>
      <c r="H59" s="50" t="s">
        <v>272</v>
      </c>
      <c r="I59" s="17"/>
    </row>
    <row r="60" spans="2:10" ht="17.25" thickBot="1" x14ac:dyDescent="0.35">
      <c r="B60" s="58" t="s">
        <v>73</v>
      </c>
      <c r="C60" s="59">
        <f>-E60*24</f>
        <v>18038400</v>
      </c>
      <c r="D60" s="80" t="s">
        <v>59</v>
      </c>
      <c r="E60" s="81">
        <f>(-F53+C53-SUM(E54:E59))</f>
        <v>-751600</v>
      </c>
      <c r="F60" s="55" t="s">
        <v>112</v>
      </c>
      <c r="G60" s="47">
        <f>-ROUND(1000000/12,-3)-ROUND(1200000/12,-3)-ROUND(600000/12,-3)</f>
        <v>-233000</v>
      </c>
      <c r="H60" s="235" t="s">
        <v>268</v>
      </c>
      <c r="J60" s="132"/>
    </row>
    <row r="61" spans="2:10" ht="17.25" thickBot="1" x14ac:dyDescent="0.35">
      <c r="B61" s="260" t="s">
        <v>66</v>
      </c>
      <c r="C61" s="261">
        <f>C54+C56+C57+C58+C59+C60</f>
        <v>20218080</v>
      </c>
      <c r="E61" s="131"/>
      <c r="F61" s="17" t="s">
        <v>49</v>
      </c>
      <c r="G61" s="82">
        <f>-ROUND((C24*0.04/12)+(C43*0.05/12)+(C59*0.055/12*0.7),-3)</f>
        <v>-31000</v>
      </c>
      <c r="H61" s="88"/>
      <c r="I61" s="134"/>
      <c r="J61" s="47"/>
    </row>
    <row r="62" spans="2:10" x14ac:dyDescent="0.3">
      <c r="B62" s="55" t="s">
        <v>138</v>
      </c>
      <c r="C62" s="56">
        <f>ROUND(현자산!G$19*0.88,-3)</f>
        <v>197488000</v>
      </c>
      <c r="D62" s="1">
        <f>현자산!F$19</f>
        <v>274630000</v>
      </c>
      <c r="E62" s="50" t="s">
        <v>140</v>
      </c>
      <c r="F62" s="127" t="s">
        <v>270</v>
      </c>
      <c r="G62" s="128">
        <f>-(120000*2+(4500+2400)*30)-ROUND(1400000/12,-4)-(20000+30000)</f>
        <v>-617000</v>
      </c>
      <c r="H62" s="20" t="s">
        <v>548</v>
      </c>
      <c r="I62" s="17"/>
    </row>
    <row r="63" spans="2:10" ht="17.25" thickBot="1" x14ac:dyDescent="0.35">
      <c r="B63" s="425" t="s">
        <v>264</v>
      </c>
      <c r="C63" s="424">
        <f>ROUND((700000000-'보증잔액 Table'!J6),-3)+C$85</f>
        <v>764577000</v>
      </c>
      <c r="D63" s="2">
        <f>SUM(C61,D62,C63)</f>
        <v>1059425080</v>
      </c>
      <c r="E63" s="2" t="s">
        <v>532</v>
      </c>
      <c r="F63" s="135" t="s">
        <v>119</v>
      </c>
      <c r="G63" s="68">
        <v>-120000</v>
      </c>
      <c r="H63" s="116" t="s">
        <v>106</v>
      </c>
      <c r="I63" s="77"/>
      <c r="J63" s="78"/>
    </row>
    <row r="64" spans="2:10" ht="17.25" thickBot="1" x14ac:dyDescent="0.35">
      <c r="B64" s="250" t="s">
        <v>139</v>
      </c>
      <c r="C64" s="172">
        <f>SUM(C61:C63)</f>
        <v>982283080</v>
      </c>
      <c r="F64" s="74" t="s">
        <v>275</v>
      </c>
      <c r="G64" s="75">
        <v>-55000</v>
      </c>
      <c r="H64" s="116" t="s">
        <v>107</v>
      </c>
      <c r="I64" s="77"/>
      <c r="J64" s="78"/>
    </row>
    <row r="65" spans="2:12" ht="17.25" thickBot="1" x14ac:dyDescent="0.35">
      <c r="B65" s="213" t="s">
        <v>202</v>
      </c>
      <c r="C65" s="214">
        <f>ROUND(1500000*(12+24)+C64,-3)</f>
        <v>1036283000</v>
      </c>
      <c r="F65" s="146" t="s">
        <v>113</v>
      </c>
      <c r="G65" s="147">
        <f>-600000*4/12</f>
        <v>-200000</v>
      </c>
      <c r="H65" s="20" t="s">
        <v>257</v>
      </c>
      <c r="I65" s="77"/>
      <c r="J65" s="78"/>
    </row>
    <row r="66" spans="2:12" x14ac:dyDescent="0.3">
      <c r="I66" s="77"/>
      <c r="J66" s="78"/>
    </row>
    <row r="67" spans="2:12" x14ac:dyDescent="0.3">
      <c r="B67" s="47" t="s">
        <v>230</v>
      </c>
      <c r="D67" s="231"/>
      <c r="E67" s="231" t="s">
        <v>540</v>
      </c>
      <c r="F67" s="231">
        <f>G51</f>
        <v>1038000000</v>
      </c>
      <c r="G67" s="231">
        <f>ROUND(C77+C78+(650000000+250000000-'보증잔액 Table'!G8),-6)</f>
        <v>999000000</v>
      </c>
      <c r="H67" s="145" t="s">
        <v>183</v>
      </c>
    </row>
    <row r="68" spans="2:12" x14ac:dyDescent="0.3">
      <c r="B68" s="9" t="s">
        <v>34</v>
      </c>
      <c r="C68" s="10" t="s">
        <v>35</v>
      </c>
      <c r="D68" s="452" t="s">
        <v>36</v>
      </c>
      <c r="E68" s="453"/>
      <c r="F68" s="454" t="s">
        <v>37</v>
      </c>
      <c r="G68" s="446"/>
      <c r="H68" s="20" t="s">
        <v>222</v>
      </c>
    </row>
    <row r="69" spans="2:12" x14ac:dyDescent="0.3">
      <c r="B69" s="9"/>
      <c r="C69" s="130">
        <f>C53</f>
        <v>1000000</v>
      </c>
      <c r="D69" s="452">
        <f>SUM(E70:E76)</f>
        <v>4313500</v>
      </c>
      <c r="E69" s="453"/>
      <c r="F69" s="454">
        <f>SUM(G70:G81)</f>
        <v>-3313500</v>
      </c>
      <c r="G69" s="446"/>
      <c r="H69" s="69" t="s">
        <v>223</v>
      </c>
    </row>
    <row r="70" spans="2:12" ht="17.25" thickBot="1" x14ac:dyDescent="0.35">
      <c r="B70" s="55" t="s">
        <v>53</v>
      </c>
      <c r="C70" s="56">
        <f>C61</f>
        <v>20218080</v>
      </c>
      <c r="D70" s="17" t="s">
        <v>39</v>
      </c>
      <c r="E70" s="1">
        <f>ROUND(E54*1.03,-3)</f>
        <v>1793000</v>
      </c>
      <c r="F70" s="156" t="s">
        <v>130</v>
      </c>
      <c r="G70" s="54">
        <v>-650000</v>
      </c>
      <c r="H70" s="275" t="s">
        <v>296</v>
      </c>
      <c r="I70" s="17"/>
    </row>
    <row r="71" spans="2:12" ht="17.25" thickBot="1" x14ac:dyDescent="0.35">
      <c r="B71" s="149" t="s">
        <v>110</v>
      </c>
      <c r="C71" s="150"/>
      <c r="D71" s="107" t="s">
        <v>71</v>
      </c>
      <c r="E71" s="59">
        <f>B33</f>
        <v>2200000</v>
      </c>
      <c r="F71" s="58" t="s">
        <v>42</v>
      </c>
      <c r="G71" s="59"/>
      <c r="I71" s="58"/>
      <c r="J71" s="59"/>
    </row>
    <row r="72" spans="2:12" x14ac:dyDescent="0.3">
      <c r="B72" s="141" t="s">
        <v>72</v>
      </c>
      <c r="C72" s="113"/>
      <c r="D72" s="137" t="s">
        <v>54</v>
      </c>
      <c r="E72" s="71">
        <f>ROUND((349700*1.02)*(1+0.5)*0.95,-4)+(12000*2)</f>
        <v>534000</v>
      </c>
      <c r="F72" s="58" t="s">
        <v>98</v>
      </c>
      <c r="G72" s="59">
        <f>-55000-32000-34000-5500-24000</f>
        <v>-150500</v>
      </c>
      <c r="H72" s="88" t="s">
        <v>416</v>
      </c>
      <c r="I72" s="58"/>
      <c r="J72" s="59"/>
    </row>
    <row r="73" spans="2:12" x14ac:dyDescent="0.3">
      <c r="B73" s="148" t="s">
        <v>99</v>
      </c>
      <c r="C73" s="148"/>
      <c r="D73" s="120" t="s">
        <v>101</v>
      </c>
      <c r="E73" s="169">
        <v>500000</v>
      </c>
      <c r="F73" s="135" t="s">
        <v>48</v>
      </c>
      <c r="G73" s="68">
        <f>-ROUND(((115640000+C42+C58+C74/2)*0.0412/12)+120000,-3)</f>
        <v>-417000</v>
      </c>
    </row>
    <row r="74" spans="2:12" ht="17.25" thickBot="1" x14ac:dyDescent="0.35">
      <c r="B74" s="340" t="s">
        <v>100</v>
      </c>
      <c r="C74" s="340">
        <v>-20000000</v>
      </c>
      <c r="D74" s="129" t="s">
        <v>92</v>
      </c>
      <c r="E74" s="121">
        <v>300000</v>
      </c>
      <c r="F74" s="58" t="s">
        <v>46</v>
      </c>
      <c r="G74" s="59">
        <f>ROUND(-165000-(207000*19+109000*5)/24-30000-19900,-3)</f>
        <v>-401000</v>
      </c>
      <c r="H74" s="50" t="s">
        <v>344</v>
      </c>
      <c r="I74" s="58"/>
      <c r="J74" s="59"/>
    </row>
    <row r="75" spans="2:12" ht="17.25" thickBot="1" x14ac:dyDescent="0.35">
      <c r="B75" s="258" t="s">
        <v>62</v>
      </c>
      <c r="C75" s="259"/>
      <c r="D75" s="61" t="s">
        <v>43</v>
      </c>
      <c r="E75" s="62">
        <v>0</v>
      </c>
      <c r="F75" s="55" t="s">
        <v>47</v>
      </c>
      <c r="G75" s="13">
        <f>ROUND(-300000-(600000+360000+100000+250000)/12,-3)</f>
        <v>-409000</v>
      </c>
      <c r="H75" s="50" t="s">
        <v>272</v>
      </c>
      <c r="I75" s="229"/>
      <c r="J75" s="230"/>
    </row>
    <row r="76" spans="2:12" ht="17.25" thickBot="1" x14ac:dyDescent="0.35">
      <c r="B76" s="58" t="s">
        <v>73</v>
      </c>
      <c r="C76" s="59">
        <f>-E76*24</f>
        <v>24324000</v>
      </c>
      <c r="D76" s="80" t="s">
        <v>59</v>
      </c>
      <c r="E76" s="81">
        <f>(-F69+C69-SUM(E70:E75))</f>
        <v>-1013500</v>
      </c>
      <c r="F76" s="55" t="s">
        <v>112</v>
      </c>
      <c r="G76" s="47">
        <f>-ROUND(1000000/12,-3)-ROUND(1200000/12,-3)-ROUND(600000/12,-3)</f>
        <v>-233000</v>
      </c>
      <c r="H76" s="235" t="s">
        <v>268</v>
      </c>
      <c r="I76" s="17"/>
    </row>
    <row r="77" spans="2:12" ht="17.25" thickBot="1" x14ac:dyDescent="0.35">
      <c r="B77" s="260" t="s">
        <v>66</v>
      </c>
      <c r="C77" s="261">
        <f>C70+C72+C73+C74+C75+C76</f>
        <v>24542080</v>
      </c>
      <c r="E77" s="131"/>
      <c r="F77" s="135" t="s">
        <v>49</v>
      </c>
      <c r="G77" s="82">
        <f>-ROUND((C24*0.04/12)+(C43*0.05/12)+(C59*0.055/12)+(C75*0.055/12*0.5),-3)</f>
        <v>-31000</v>
      </c>
      <c r="H77" s="88"/>
    </row>
    <row r="78" spans="2:12" x14ac:dyDescent="0.3">
      <c r="B78" s="55" t="s">
        <v>138</v>
      </c>
      <c r="C78" s="56">
        <f>ROUND(현자산!G$19*0.92,-3)</f>
        <v>206465000</v>
      </c>
      <c r="D78" s="1">
        <f>현자산!F$19</f>
        <v>274630000</v>
      </c>
      <c r="E78" s="50" t="s">
        <v>140</v>
      </c>
      <c r="F78" s="127" t="s">
        <v>270</v>
      </c>
      <c r="G78" s="128">
        <f>-(120000*2+(4500+2400)*30)-ROUND(1400000/12,-4)-(20000+30000)</f>
        <v>-617000</v>
      </c>
      <c r="H78" s="20" t="s">
        <v>548</v>
      </c>
      <c r="I78" s="134"/>
      <c r="J78" s="47"/>
      <c r="L78" s="255"/>
    </row>
    <row r="79" spans="2:12" ht="17.25" thickBot="1" x14ac:dyDescent="0.35">
      <c r="B79" s="425" t="s">
        <v>264</v>
      </c>
      <c r="C79" s="424">
        <f>ROUND((700000000-'보증잔액 Table'!J8),-3)+C$85</f>
        <v>696597000</v>
      </c>
      <c r="D79" s="2">
        <f>SUM(C77,D78,C79)</f>
        <v>995769080</v>
      </c>
      <c r="E79" s="2" t="s">
        <v>532</v>
      </c>
      <c r="F79" s="135" t="s">
        <v>120</v>
      </c>
      <c r="G79" s="142">
        <v>-150000</v>
      </c>
      <c r="H79" s="116" t="s">
        <v>106</v>
      </c>
      <c r="I79" s="17"/>
    </row>
    <row r="80" spans="2:12" ht="17.25" thickBot="1" x14ac:dyDescent="0.35">
      <c r="B80" s="250" t="s">
        <v>139</v>
      </c>
      <c r="C80" s="172">
        <f>SUM(C77:C79)</f>
        <v>927604080</v>
      </c>
      <c r="F80" s="74" t="s">
        <v>275</v>
      </c>
      <c r="G80" s="75">
        <v>-55000</v>
      </c>
      <c r="H80" s="116" t="s">
        <v>107</v>
      </c>
      <c r="I80" s="17"/>
    </row>
    <row r="81" spans="1:9" ht="17.25" thickBot="1" x14ac:dyDescent="0.35">
      <c r="B81" s="213" t="s">
        <v>202</v>
      </c>
      <c r="C81" s="214">
        <f>ROUND(1500000*(12+24+24)+C80,-3)</f>
        <v>1017604000</v>
      </c>
      <c r="F81" s="146" t="s">
        <v>113</v>
      </c>
      <c r="G81" s="147">
        <f>-600000*4/12</f>
        <v>-200000</v>
      </c>
      <c r="H81" s="20" t="s">
        <v>257</v>
      </c>
      <c r="I81" s="17"/>
    </row>
    <row r="82" spans="1:9" x14ac:dyDescent="0.3">
      <c r="I82" s="17"/>
    </row>
    <row r="83" spans="1:9" x14ac:dyDescent="0.25">
      <c r="B83" s="125" t="s">
        <v>231</v>
      </c>
      <c r="C83" s="89"/>
      <c r="E83" s="89"/>
      <c r="F83" s="89"/>
      <c r="G83" s="160" t="s">
        <v>109</v>
      </c>
      <c r="H83" s="69" t="s">
        <v>543</v>
      </c>
    </row>
    <row r="84" spans="1:9" ht="17.25" thickBot="1" x14ac:dyDescent="0.35">
      <c r="B84" s="90" t="s">
        <v>75</v>
      </c>
      <c r="C84" s="11" t="s">
        <v>76</v>
      </c>
      <c r="D84" s="90" t="s">
        <v>77</v>
      </c>
      <c r="E84" s="11" t="s">
        <v>78</v>
      </c>
      <c r="F84" s="11" t="s">
        <v>141</v>
      </c>
      <c r="G84" s="91" t="s">
        <v>79</v>
      </c>
      <c r="H84" s="69" t="s">
        <v>108</v>
      </c>
    </row>
    <row r="85" spans="1:9" ht="17.25" thickBot="1" x14ac:dyDescent="0.35">
      <c r="B85" s="92"/>
      <c r="C85" s="254">
        <f>D85+SUM(E85:G85)</f>
        <v>159630000</v>
      </c>
      <c r="D85" s="346">
        <f>350000000+0</f>
        <v>350000000</v>
      </c>
      <c r="E85" s="345">
        <f>-(115640000+C42+C58+C74)-E86</f>
        <v>-86010000</v>
      </c>
      <c r="F85" s="10">
        <f>-30000000-50000000-40000000</f>
        <v>-120000000</v>
      </c>
      <c r="G85" s="94">
        <f>ROUND(100000*12*10*1.1,-6)+ROUND(20000*12*10*1.1,-3)</f>
        <v>15640000</v>
      </c>
      <c r="H85" s="69" t="s">
        <v>219</v>
      </c>
    </row>
    <row r="86" spans="1:9" x14ac:dyDescent="0.3">
      <c r="A86" s="13"/>
      <c r="B86" s="13"/>
      <c r="C86" s="13"/>
      <c r="D86" s="143" t="s">
        <v>103</v>
      </c>
      <c r="E86" s="138">
        <f>SUM(C24,C41,C43,C57,C59,C73,C75)</f>
        <v>9370000</v>
      </c>
      <c r="F86" s="342" t="s">
        <v>439</v>
      </c>
      <c r="G86" s="96"/>
      <c r="H86" s="344" t="s">
        <v>440</v>
      </c>
    </row>
    <row r="87" spans="1:9" x14ac:dyDescent="0.3">
      <c r="A87" s="13"/>
      <c r="B87" s="13"/>
      <c r="C87" s="13"/>
      <c r="D87" s="143"/>
      <c r="E87" s="138"/>
      <c r="F87" s="174"/>
      <c r="G87" s="96"/>
    </row>
    <row r="88" spans="1:9" x14ac:dyDescent="0.3">
      <c r="B88" s="123" t="s">
        <v>232</v>
      </c>
      <c r="C88" s="124"/>
      <c r="G88" s="46" t="s">
        <v>74</v>
      </c>
    </row>
    <row r="89" spans="1:9" x14ac:dyDescent="0.3">
      <c r="B89" s="90" t="s">
        <v>80</v>
      </c>
      <c r="C89" s="11" t="s">
        <v>81</v>
      </c>
      <c r="D89" s="11"/>
      <c r="E89" s="11" t="s">
        <v>82</v>
      </c>
      <c r="F89" s="11"/>
      <c r="G89" s="11" t="s">
        <v>83</v>
      </c>
    </row>
    <row r="90" spans="1:9" x14ac:dyDescent="0.3">
      <c r="B90" s="92"/>
      <c r="C90" s="97">
        <f>C77+C85+E90</f>
        <v>184172080</v>
      </c>
      <c r="D90" s="98"/>
      <c r="E90" s="98">
        <v>0</v>
      </c>
      <c r="F90" s="10"/>
      <c r="G90" s="10">
        <v>0</v>
      </c>
    </row>
    <row r="91" spans="1:9" x14ac:dyDescent="0.3">
      <c r="A91" s="13"/>
      <c r="B91" s="99"/>
      <c r="C91" s="99"/>
      <c r="D91" s="99"/>
      <c r="E91" s="99"/>
      <c r="F91" s="100"/>
      <c r="G91" s="101"/>
    </row>
    <row r="92" spans="1:9" x14ac:dyDescent="0.3">
      <c r="A92" s="13"/>
      <c r="B92" s="13"/>
      <c r="C92" s="13"/>
      <c r="D92" s="13"/>
      <c r="E92" s="13"/>
      <c r="F92" s="95"/>
      <c r="G92" s="96"/>
      <c r="H92" s="435" t="s">
        <v>551</v>
      </c>
      <c r="I92" s="234"/>
    </row>
    <row r="93" spans="1:9" x14ac:dyDescent="0.3">
      <c r="B93" s="47" t="s">
        <v>233</v>
      </c>
      <c r="E93" s="231" t="s">
        <v>541</v>
      </c>
      <c r="F93" s="231">
        <f>G67</f>
        <v>999000000</v>
      </c>
      <c r="G93" s="231">
        <f>ROUND(C101+C102+(650000000-'보증잔액 Table'!G13),-6)</f>
        <v>924000000</v>
      </c>
      <c r="H93" s="145" t="s">
        <v>221</v>
      </c>
    </row>
    <row r="94" spans="1:9" x14ac:dyDescent="0.3">
      <c r="B94" s="9" t="s">
        <v>34</v>
      </c>
      <c r="C94" s="10" t="s">
        <v>35</v>
      </c>
      <c r="D94" s="452" t="s">
        <v>36</v>
      </c>
      <c r="E94" s="453"/>
      <c r="F94" s="454" t="s">
        <v>37</v>
      </c>
      <c r="G94" s="446"/>
      <c r="H94" s="69" t="s">
        <v>117</v>
      </c>
    </row>
    <row r="95" spans="1:9" x14ac:dyDescent="0.3">
      <c r="B95" s="9"/>
      <c r="C95" s="130">
        <f>C69-0</f>
        <v>1000000</v>
      </c>
      <c r="D95" s="452">
        <f>SUM(E96:E101)</f>
        <v>3389000</v>
      </c>
      <c r="E95" s="453"/>
      <c r="F95" s="454">
        <f>SUM(G96:G104)</f>
        <v>-2389000</v>
      </c>
      <c r="G95" s="446"/>
      <c r="H95" s="69" t="s">
        <v>220</v>
      </c>
    </row>
    <row r="96" spans="1:9" ht="17.25" thickBot="1" x14ac:dyDescent="0.35">
      <c r="B96" s="55" t="s">
        <v>53</v>
      </c>
      <c r="C96" s="56">
        <f>C90</f>
        <v>184172080</v>
      </c>
      <c r="D96" s="17" t="s">
        <v>39</v>
      </c>
      <c r="E96" s="1">
        <f>ROUND(E70*1.05,-4)</f>
        <v>1880000</v>
      </c>
      <c r="F96" s="156" t="s">
        <v>130</v>
      </c>
      <c r="G96" s="54">
        <v>-650000</v>
      </c>
      <c r="H96" s="275" t="s">
        <v>296</v>
      </c>
      <c r="I96" s="17"/>
    </row>
    <row r="97" spans="2:15" ht="17.25" thickBot="1" x14ac:dyDescent="0.35">
      <c r="B97" s="157" t="s">
        <v>218</v>
      </c>
      <c r="C97" s="158">
        <v>-30000000</v>
      </c>
      <c r="D97" s="58" t="s">
        <v>71</v>
      </c>
      <c r="E97" s="59">
        <f>D33</f>
        <v>1540000</v>
      </c>
      <c r="F97" s="58" t="s">
        <v>42</v>
      </c>
      <c r="G97" s="59"/>
      <c r="I97" s="17"/>
      <c r="L97" s="13" t="s">
        <v>310</v>
      </c>
    </row>
    <row r="98" spans="2:15" x14ac:dyDescent="0.3">
      <c r="B98" s="58" t="s">
        <v>73</v>
      </c>
      <c r="C98" s="59">
        <f>-E101*60</f>
        <v>54315789.473684169</v>
      </c>
      <c r="D98" s="60" t="s">
        <v>54</v>
      </c>
      <c r="E98" s="71">
        <f>(E72-(12000*2))/0.95*1.025+(12000*2)</f>
        <v>574263.15789473674</v>
      </c>
      <c r="F98" s="58" t="s">
        <v>98</v>
      </c>
      <c r="G98" s="59">
        <f>-70000-(97000-38000)+29000</f>
        <v>-100000</v>
      </c>
      <c r="H98" s="69" t="s">
        <v>240</v>
      </c>
      <c r="I98" s="17"/>
      <c r="L98" s="276" t="s">
        <v>301</v>
      </c>
      <c r="M98" s="276" t="s">
        <v>302</v>
      </c>
      <c r="N98" s="276" t="s">
        <v>303</v>
      </c>
      <c r="O98" s="278" t="s">
        <v>305</v>
      </c>
    </row>
    <row r="99" spans="2:15" x14ac:dyDescent="0.3">
      <c r="B99" s="55" t="s">
        <v>66</v>
      </c>
      <c r="C99" s="56">
        <f>C96+C97+C98</f>
        <v>208487869.47368416</v>
      </c>
      <c r="D99" s="120" t="s">
        <v>101</v>
      </c>
      <c r="E99" s="87"/>
      <c r="F99" s="58" t="s">
        <v>46</v>
      </c>
      <c r="G99" s="59">
        <f>-165000-109000-30000-20000</f>
        <v>-324000</v>
      </c>
      <c r="H99" s="103" t="s">
        <v>345</v>
      </c>
      <c r="I99" s="17"/>
      <c r="L99" s="277">
        <f>2200000*12*5+1540000*12*0</f>
        <v>132000000</v>
      </c>
      <c r="M99" s="277">
        <f>-L99*0.04/12</f>
        <v>-440000</v>
      </c>
      <c r="N99" s="277">
        <f>(C96-20000000)*0.04/12</f>
        <v>547240.26666666672</v>
      </c>
      <c r="O99" s="14">
        <f>SUM(M99:N99)</f>
        <v>107240.26666666672</v>
      </c>
    </row>
    <row r="100" spans="2:15" ht="17.25" thickBot="1" x14ac:dyDescent="0.35">
      <c r="B100" s="422" t="s">
        <v>84</v>
      </c>
      <c r="C100" s="421">
        <f>ROUND((AVERAGE(C96,C99)-50000000)*(1+0.02)^5-(AVERAGE(C96,C99)-50000000),-4)*1</f>
        <v>15230000</v>
      </c>
      <c r="D100" s="129" t="s">
        <v>92</v>
      </c>
      <c r="E100" s="76">
        <v>300000</v>
      </c>
      <c r="F100" s="55" t="s">
        <v>112</v>
      </c>
      <c r="G100" s="47">
        <f>-ROUND(1000000/12,-3)-ROUND(1200000/12,-3)-ROUND(600000/12,-3)</f>
        <v>-233000</v>
      </c>
      <c r="H100" s="235" t="s">
        <v>268</v>
      </c>
      <c r="I100" s="17"/>
      <c r="L100" s="115" t="s">
        <v>309</v>
      </c>
    </row>
    <row r="101" spans="2:15" ht="17.25" thickBot="1" x14ac:dyDescent="0.35">
      <c r="B101" s="260" t="s">
        <v>276</v>
      </c>
      <c r="C101" s="261">
        <f>C100+C99</f>
        <v>223717869.47368416</v>
      </c>
      <c r="D101" s="80" t="s">
        <v>59</v>
      </c>
      <c r="E101" s="81">
        <f>(-F95+C95-SUM(E96:E100))</f>
        <v>-905263.15789473616</v>
      </c>
      <c r="F101" s="229" t="s">
        <v>47</v>
      </c>
      <c r="G101" s="230">
        <f>ROUND(-200000-600000/12,-3)</f>
        <v>-250000</v>
      </c>
      <c r="H101" s="50" t="s">
        <v>547</v>
      </c>
      <c r="I101" s="17"/>
      <c r="L101" s="115" t="s">
        <v>312</v>
      </c>
    </row>
    <row r="102" spans="2:15" x14ac:dyDescent="0.2">
      <c r="B102" s="55" t="s">
        <v>533</v>
      </c>
      <c r="C102" s="56">
        <f>ROUND(현자산!F$19*1,-3)</f>
        <v>274630000</v>
      </c>
      <c r="D102" s="341" t="s">
        <v>432</v>
      </c>
      <c r="F102" s="127" t="s">
        <v>270</v>
      </c>
      <c r="G102" s="128">
        <f>-(120000*2+(0+2400)*30)-ROUND(1400000/12,-4)-(20000+30000)</f>
        <v>-482000</v>
      </c>
      <c r="H102" s="20" t="s">
        <v>549</v>
      </c>
      <c r="I102" s="17"/>
      <c r="L102" s="279" t="s">
        <v>314</v>
      </c>
    </row>
    <row r="103" spans="2:15" ht="17.25" thickBot="1" x14ac:dyDescent="0.35">
      <c r="B103" s="425" t="s">
        <v>315</v>
      </c>
      <c r="C103" s="424">
        <f>ROUND((700000000-'보증잔액 Table'!J13),-3)</f>
        <v>374088000</v>
      </c>
      <c r="D103" s="423" t="s">
        <v>539</v>
      </c>
      <c r="F103" s="17" t="s">
        <v>50</v>
      </c>
      <c r="G103" s="1">
        <v>-150000</v>
      </c>
      <c r="I103" s="17"/>
      <c r="L103" s="115" t="s">
        <v>313</v>
      </c>
    </row>
    <row r="104" spans="2:15" ht="17.25" thickBot="1" x14ac:dyDescent="0.35">
      <c r="B104" s="250" t="s">
        <v>139</v>
      </c>
      <c r="C104" s="172">
        <f>SUM(C101:C103)</f>
        <v>872435869.47368419</v>
      </c>
      <c r="D104" s="116" t="s">
        <v>445</v>
      </c>
      <c r="F104" s="146" t="s">
        <v>113</v>
      </c>
      <c r="G104" s="147">
        <f>-600000*4/12</f>
        <v>-200000</v>
      </c>
      <c r="H104" s="20" t="s">
        <v>257</v>
      </c>
      <c r="I104" s="17"/>
      <c r="L104" s="115" t="s">
        <v>447</v>
      </c>
    </row>
    <row r="105" spans="2:15" x14ac:dyDescent="0.3">
      <c r="B105" s="213" t="s">
        <v>202</v>
      </c>
      <c r="C105" s="214">
        <f>ROUND(1500000*(12+24+24+60)+C104,-3)</f>
        <v>1052436000</v>
      </c>
      <c r="D105" s="116" t="s">
        <v>446</v>
      </c>
      <c r="I105" s="17"/>
    </row>
    <row r="106" spans="2:15" x14ac:dyDescent="0.3">
      <c r="F106" s="428"/>
      <c r="G106" s="429" t="s">
        <v>542</v>
      </c>
      <c r="H106" s="435" t="s">
        <v>551</v>
      </c>
      <c r="I106" s="234"/>
    </row>
    <row r="107" spans="2:15" x14ac:dyDescent="0.3">
      <c r="B107" s="47" t="s">
        <v>234</v>
      </c>
      <c r="E107" s="231" t="s">
        <v>541</v>
      </c>
      <c r="F107" s="231">
        <f>G93</f>
        <v>924000000</v>
      </c>
      <c r="G107" s="232">
        <f>ROUND(C115+C116+(700000000-'보증잔액 Table'!G18),-6)</f>
        <v>1014000000</v>
      </c>
      <c r="H107" s="145" t="s">
        <v>221</v>
      </c>
    </row>
    <row r="108" spans="2:15" x14ac:dyDescent="0.3">
      <c r="B108" s="9" t="s">
        <v>34</v>
      </c>
      <c r="C108" s="10" t="s">
        <v>35</v>
      </c>
      <c r="D108" s="452" t="s">
        <v>36</v>
      </c>
      <c r="E108" s="453"/>
      <c r="F108" s="454" t="s">
        <v>37</v>
      </c>
      <c r="G108" s="446"/>
      <c r="H108" s="69" t="s">
        <v>117</v>
      </c>
    </row>
    <row r="109" spans="2:15" x14ac:dyDescent="0.3">
      <c r="B109" s="9"/>
      <c r="C109" s="130">
        <f>C95-300000</f>
        <v>700000</v>
      </c>
      <c r="D109" s="452">
        <f>SUM(E110:E115)</f>
        <v>2586000</v>
      </c>
      <c r="E109" s="453"/>
      <c r="F109" s="454">
        <f>SUM(G110:G118)</f>
        <v>-1886000</v>
      </c>
      <c r="G109" s="446"/>
      <c r="H109" s="69" t="s">
        <v>220</v>
      </c>
    </row>
    <row r="110" spans="2:15" ht="17.25" thickBot="1" x14ac:dyDescent="0.35">
      <c r="B110" s="55" t="s">
        <v>53</v>
      </c>
      <c r="C110" s="56">
        <f>C101</f>
        <v>223717869.47368416</v>
      </c>
      <c r="D110" s="17" t="s">
        <v>39</v>
      </c>
      <c r="E110" s="1">
        <f>ROUND(E96*1.05,-4)</f>
        <v>1970000</v>
      </c>
      <c r="F110" s="156" t="s">
        <v>130</v>
      </c>
      <c r="G110" s="54">
        <v>-650000</v>
      </c>
      <c r="H110" s="275" t="s">
        <v>296</v>
      </c>
    </row>
    <row r="111" spans="2:15" ht="17.25" thickBot="1" x14ac:dyDescent="0.35">
      <c r="B111" s="170" t="s">
        <v>121</v>
      </c>
      <c r="C111" s="171"/>
      <c r="D111" s="58" t="s">
        <v>71</v>
      </c>
      <c r="E111" s="59">
        <f>D33</f>
        <v>1540000</v>
      </c>
      <c r="F111" s="58" t="s">
        <v>42</v>
      </c>
      <c r="G111" s="59"/>
      <c r="L111" s="13" t="s">
        <v>304</v>
      </c>
    </row>
    <row r="112" spans="2:15" x14ac:dyDescent="0.3">
      <c r="B112" s="58" t="s">
        <v>73</v>
      </c>
      <c r="C112" s="59">
        <f>-E115*60</f>
        <v>108721184.21052632</v>
      </c>
      <c r="D112" s="60" t="s">
        <v>54</v>
      </c>
      <c r="E112" s="71">
        <f>(E98-(12000*2))*1.025+(12000*2)</f>
        <v>588019.73684210517</v>
      </c>
      <c r="F112" s="58" t="s">
        <v>98</v>
      </c>
      <c r="G112" s="59">
        <f>-70000-(97000-38000)+29000</f>
        <v>-100000</v>
      </c>
      <c r="H112" s="69" t="s">
        <v>240</v>
      </c>
      <c r="L112" s="276" t="s">
        <v>301</v>
      </c>
      <c r="M112" s="276" t="s">
        <v>302</v>
      </c>
      <c r="N112" s="276" t="s">
        <v>303</v>
      </c>
      <c r="O112" s="278" t="s">
        <v>305</v>
      </c>
    </row>
    <row r="113" spans="2:15" x14ac:dyDescent="0.3">
      <c r="B113" s="55" t="s">
        <v>66</v>
      </c>
      <c r="C113" s="56">
        <f>C110+C111+C112</f>
        <v>332439053.68421048</v>
      </c>
      <c r="D113" s="120" t="s">
        <v>101</v>
      </c>
      <c r="E113" s="87"/>
      <c r="F113" s="58" t="s">
        <v>46</v>
      </c>
      <c r="G113" s="59">
        <f>-165000-109000-20000</f>
        <v>-294000</v>
      </c>
      <c r="H113" s="275" t="s">
        <v>346</v>
      </c>
      <c r="L113" s="277">
        <f>2200000*12*5+1540000*12*5</f>
        <v>224400000</v>
      </c>
      <c r="M113" s="277">
        <f>-L113*0.04/12</f>
        <v>-748000</v>
      </c>
      <c r="N113" s="277">
        <f>(C110-20000000)*0.04/12</f>
        <v>679059.56491228053</v>
      </c>
      <c r="O113" s="14">
        <f>SUM(M113:N113)</f>
        <v>-68940.435087719467</v>
      </c>
    </row>
    <row r="114" spans="2:15" ht="17.25" thickBot="1" x14ac:dyDescent="0.35">
      <c r="B114" s="422" t="s">
        <v>84</v>
      </c>
      <c r="C114" s="421">
        <f>ROUND((AVERAGE(C110,C113)-50000000)*(1+0.02)^5-(AVERAGE(C110,C113)-50000000),-4)*1</f>
        <v>23740000</v>
      </c>
      <c r="D114" s="129" t="s">
        <v>92</v>
      </c>
      <c r="E114" s="76">
        <v>300000</v>
      </c>
      <c r="F114" s="17" t="s">
        <v>112</v>
      </c>
      <c r="H114" s="20" t="s">
        <v>341</v>
      </c>
      <c r="L114" s="115" t="s">
        <v>309</v>
      </c>
    </row>
    <row r="115" spans="2:15" ht="17.25" thickBot="1" x14ac:dyDescent="0.35">
      <c r="B115" s="260" t="s">
        <v>276</v>
      </c>
      <c r="C115" s="261">
        <f>C114+C113</f>
        <v>356179053.68421048</v>
      </c>
      <c r="D115" s="80" t="s">
        <v>59</v>
      </c>
      <c r="E115" s="81">
        <f>(-F109+C109-SUM(E110:E114))</f>
        <v>-1812019.7368421052</v>
      </c>
      <c r="F115" s="229" t="s">
        <v>47</v>
      </c>
      <c r="G115" s="230">
        <f>-210000-40000</f>
        <v>-250000</v>
      </c>
      <c r="H115" s="50" t="s">
        <v>198</v>
      </c>
      <c r="L115" s="115" t="s">
        <v>311</v>
      </c>
    </row>
    <row r="116" spans="2:15" x14ac:dyDescent="0.3">
      <c r="B116" s="55" t="s">
        <v>533</v>
      </c>
      <c r="C116" s="56">
        <f>현자산!F19</f>
        <v>274630000</v>
      </c>
      <c r="F116" s="127" t="s">
        <v>270</v>
      </c>
      <c r="G116" s="128">
        <f>-(120000*0+(0+2400)*30)-ROUND(1400000/12,-4)-(20000+30000)</f>
        <v>-242000</v>
      </c>
      <c r="H116" s="20" t="s">
        <v>550</v>
      </c>
      <c r="L116" s="115" t="s">
        <v>313</v>
      </c>
    </row>
    <row r="117" spans="2:15" ht="17.25" thickBot="1" x14ac:dyDescent="0.35">
      <c r="B117" s="425" t="s">
        <v>315</v>
      </c>
      <c r="C117" s="424">
        <f>ROUND((700000000-'보증잔액 Table'!J18),-3)</f>
        <v>156090000</v>
      </c>
      <c r="D117" s="20" t="s">
        <v>278</v>
      </c>
      <c r="F117" s="17" t="s">
        <v>50</v>
      </c>
      <c r="G117" s="1">
        <v>-150000</v>
      </c>
      <c r="L117" s="115" t="s">
        <v>447</v>
      </c>
    </row>
    <row r="118" spans="2:15" ht="17.25" thickBot="1" x14ac:dyDescent="0.35">
      <c r="B118" s="173" t="s">
        <v>139</v>
      </c>
      <c r="C118" s="172">
        <f>SUM(C115:C117)</f>
        <v>786899053.68421054</v>
      </c>
      <c r="D118" s="116" t="s">
        <v>445</v>
      </c>
      <c r="F118" s="146" t="s">
        <v>113</v>
      </c>
      <c r="G118" s="147">
        <f>-600000*4/12</f>
        <v>-200000</v>
      </c>
      <c r="H118" s="20" t="s">
        <v>257</v>
      </c>
    </row>
    <row r="119" spans="2:15" x14ac:dyDescent="0.3">
      <c r="B119" s="213" t="s">
        <v>202</v>
      </c>
      <c r="C119" s="214">
        <f>ROUND(1500000*(12+24+24+60+60)+C118,-3)</f>
        <v>1056899000</v>
      </c>
      <c r="D119" s="116" t="s">
        <v>446</v>
      </c>
    </row>
    <row r="120" spans="2:15" x14ac:dyDescent="0.3">
      <c r="F120" s="428"/>
      <c r="G120" s="429" t="s">
        <v>542</v>
      </c>
      <c r="H120" s="435" t="s">
        <v>552</v>
      </c>
      <c r="I120" s="234"/>
    </row>
    <row r="121" spans="2:15" x14ac:dyDescent="0.3">
      <c r="B121" s="47" t="s">
        <v>235</v>
      </c>
      <c r="E121" s="231" t="s">
        <v>541</v>
      </c>
      <c r="F121" s="231">
        <f>G107</f>
        <v>1014000000</v>
      </c>
      <c r="G121" s="232">
        <f>ROUND(C128+C129+(700000000-'보증잔액 Table'!G23),-6)</f>
        <v>1071000000</v>
      </c>
      <c r="H121" s="233" t="s">
        <v>217</v>
      </c>
      <c r="I121" s="234"/>
    </row>
    <row r="122" spans="2:15" x14ac:dyDescent="0.3">
      <c r="B122" s="9" t="s">
        <v>34</v>
      </c>
      <c r="C122" s="10" t="s">
        <v>35</v>
      </c>
      <c r="D122" s="452" t="s">
        <v>36</v>
      </c>
      <c r="E122" s="453"/>
      <c r="F122" s="454" t="s">
        <v>37</v>
      </c>
      <c r="G122" s="446"/>
      <c r="H122" s="145" t="s">
        <v>212</v>
      </c>
    </row>
    <row r="123" spans="2:15" x14ac:dyDescent="0.3">
      <c r="B123" s="9"/>
      <c r="C123" s="130">
        <f>C109-0</f>
        <v>700000</v>
      </c>
      <c r="D123" s="452">
        <f>SUM(E124:E129)</f>
        <v>2132000</v>
      </c>
      <c r="E123" s="453"/>
      <c r="F123" s="454">
        <f>SUM(G124:G130)</f>
        <v>-1432000</v>
      </c>
      <c r="G123" s="446"/>
      <c r="H123" s="69" t="s">
        <v>474</v>
      </c>
    </row>
    <row r="124" spans="2:15" x14ac:dyDescent="0.3">
      <c r="B124" s="55" t="s">
        <v>53</v>
      </c>
      <c r="C124" s="56">
        <f>C115</f>
        <v>356179053.68421048</v>
      </c>
      <c r="D124" s="17" t="s">
        <v>39</v>
      </c>
      <c r="E124" s="1">
        <f>ROUND(E110*1.05,-4)</f>
        <v>2070000</v>
      </c>
      <c r="F124" s="156" t="s">
        <v>130</v>
      </c>
      <c r="G124" s="54">
        <v>-450000</v>
      </c>
      <c r="H124" s="69" t="s">
        <v>225</v>
      </c>
    </row>
    <row r="125" spans="2:15" x14ac:dyDescent="0.3">
      <c r="B125" s="58" t="s">
        <v>73</v>
      </c>
      <c r="C125" s="59">
        <f>-E129*60</f>
        <v>124807213.81578946</v>
      </c>
      <c r="D125" s="58" t="s">
        <v>71</v>
      </c>
      <c r="E125" s="59">
        <f>D33</f>
        <v>1540000</v>
      </c>
      <c r="F125" s="58" t="s">
        <v>42</v>
      </c>
      <c r="G125" s="59"/>
      <c r="H125" s="20" t="s">
        <v>117</v>
      </c>
      <c r="L125" s="13" t="s">
        <v>306</v>
      </c>
    </row>
    <row r="126" spans="2:15" x14ac:dyDescent="0.3">
      <c r="B126" s="55" t="s">
        <v>66</v>
      </c>
      <c r="C126" s="56">
        <f>C124+C125</f>
        <v>480986267.49999994</v>
      </c>
      <c r="D126" s="60" t="s">
        <v>54</v>
      </c>
      <c r="E126" s="71">
        <f>(E112-(12000*2))*1.025+(12000*2)</f>
        <v>602120.23026315775</v>
      </c>
      <c r="F126" s="58" t="s">
        <v>98</v>
      </c>
      <c r="G126" s="59">
        <f>-70000-(97000-38000)+29000</f>
        <v>-100000</v>
      </c>
      <c r="H126" s="69" t="s">
        <v>240</v>
      </c>
      <c r="L126" s="276" t="s">
        <v>301</v>
      </c>
      <c r="M126" s="276" t="s">
        <v>302</v>
      </c>
      <c r="N126" s="276" t="s">
        <v>303</v>
      </c>
      <c r="O126" s="278" t="s">
        <v>305</v>
      </c>
    </row>
    <row r="127" spans="2:15" ht="17.25" thickBot="1" x14ac:dyDescent="0.35">
      <c r="B127" s="422" t="s">
        <v>84</v>
      </c>
      <c r="C127" s="421">
        <f>200000000*0.02*5</f>
        <v>20000000</v>
      </c>
      <c r="D127" s="120" t="s">
        <v>101</v>
      </c>
      <c r="E127" s="87"/>
      <c r="F127" s="58" t="s">
        <v>46</v>
      </c>
      <c r="G127" s="59">
        <f>-165000-109000-20000</f>
        <v>-294000</v>
      </c>
      <c r="H127" s="275" t="s">
        <v>346</v>
      </c>
      <c r="L127" s="277">
        <f>2200000*12*5+1540000*12*10</f>
        <v>316800000</v>
      </c>
      <c r="M127" s="277">
        <f>-L127*0.04/12</f>
        <v>-1056000</v>
      </c>
      <c r="N127" s="277">
        <f>(C124-20000000)*0.04/12</f>
        <v>1120596.8456140349</v>
      </c>
      <c r="O127" s="14">
        <f>SUM(M127:N127)</f>
        <v>64596.845614034915</v>
      </c>
    </row>
    <row r="128" spans="2:15" ht="17.25" thickBot="1" x14ac:dyDescent="0.35">
      <c r="B128" s="260" t="s">
        <v>276</v>
      </c>
      <c r="C128" s="261">
        <f>C127+C126</f>
        <v>500986267.49999994</v>
      </c>
      <c r="D128" s="129" t="s">
        <v>92</v>
      </c>
      <c r="E128" s="121"/>
      <c r="F128" s="228" t="s">
        <v>47</v>
      </c>
      <c r="G128" s="230">
        <f>ROUND(-200000-600000/12,-3)</f>
        <v>-250000</v>
      </c>
      <c r="H128" s="50" t="s">
        <v>547</v>
      </c>
      <c r="I128" s="17"/>
      <c r="L128" s="115" t="s">
        <v>309</v>
      </c>
    </row>
    <row r="129" spans="1:15" ht="17.25" thickBot="1" x14ac:dyDescent="0.35">
      <c r="B129" s="55" t="s">
        <v>138</v>
      </c>
      <c r="C129" s="56">
        <f>ROUND(현자산!F19*1.02,-5)</f>
        <v>280100000</v>
      </c>
      <c r="D129" s="80" t="s">
        <v>59</v>
      </c>
      <c r="E129" s="81">
        <f>(-F123+C123-SUM(E124:E128))</f>
        <v>-2080120.2302631577</v>
      </c>
      <c r="F129" s="127" t="s">
        <v>270</v>
      </c>
      <c r="G129" s="128">
        <f>-(120000*0+(0+1600)*30)-ROUND(1400000/12,-4)-(20000+30000)</f>
        <v>-218000</v>
      </c>
      <c r="H129" s="20" t="s">
        <v>271</v>
      </c>
      <c r="L129" s="115" t="s">
        <v>311</v>
      </c>
    </row>
    <row r="130" spans="1:15" ht="17.25" thickBot="1" x14ac:dyDescent="0.35">
      <c r="B130" s="425" t="s">
        <v>315</v>
      </c>
      <c r="C130" s="424">
        <f>IF(ROUND((700000000-'보증잔액 Table'!J23),-3)&lt;0,0,ROUND((700000000-'보증잔액 Table'!J23),-3))</f>
        <v>0</v>
      </c>
      <c r="D130" s="20" t="s">
        <v>278</v>
      </c>
      <c r="F130" s="17" t="s">
        <v>50</v>
      </c>
      <c r="G130" s="1">
        <v>-120000</v>
      </c>
      <c r="H130" s="20" t="s">
        <v>257</v>
      </c>
      <c r="L130" s="115" t="s">
        <v>313</v>
      </c>
    </row>
    <row r="131" spans="1:15" ht="17.25" thickBot="1" x14ac:dyDescent="0.35">
      <c r="A131" s="20"/>
      <c r="B131" s="173" t="s">
        <v>139</v>
      </c>
      <c r="C131" s="172">
        <f>SUM(C128:C130)</f>
        <v>781086267.5</v>
      </c>
      <c r="D131" s="116" t="s">
        <v>445</v>
      </c>
      <c r="F131" s="17"/>
      <c r="L131" s="115" t="s">
        <v>447</v>
      </c>
    </row>
    <row r="132" spans="1:15" x14ac:dyDescent="0.3">
      <c r="A132" s="20"/>
      <c r="B132" s="213" t="s">
        <v>202</v>
      </c>
      <c r="C132" s="214">
        <f>ROUND(1500000*(12+24+24+60+60)+C131,-3)</f>
        <v>1051086000</v>
      </c>
      <c r="D132" s="116" t="s">
        <v>446</v>
      </c>
      <c r="F132" s="17"/>
    </row>
    <row r="133" spans="1:15" x14ac:dyDescent="0.3">
      <c r="B133" s="69"/>
      <c r="C133" s="69"/>
      <c r="D133" s="69"/>
      <c r="F133" s="428"/>
      <c r="G133" s="429" t="s">
        <v>542</v>
      </c>
      <c r="H133" s="435" t="s">
        <v>552</v>
      </c>
      <c r="I133" s="234"/>
    </row>
    <row r="134" spans="1:15" x14ac:dyDescent="0.3">
      <c r="B134" s="47" t="s">
        <v>236</v>
      </c>
      <c r="E134" s="231" t="s">
        <v>541</v>
      </c>
      <c r="F134" s="231">
        <f>G121</f>
        <v>1071000000</v>
      </c>
      <c r="G134" s="232">
        <f>ROUND(C141+C142+(700000000-'보증잔액 Table'!G28),-6)</f>
        <v>1139000000</v>
      </c>
      <c r="H134" s="233" t="s">
        <v>217</v>
      </c>
      <c r="I134" s="234"/>
    </row>
    <row r="135" spans="1:15" x14ac:dyDescent="0.3">
      <c r="B135" s="9" t="s">
        <v>34</v>
      </c>
      <c r="C135" s="10" t="s">
        <v>35</v>
      </c>
      <c r="D135" s="452" t="s">
        <v>36</v>
      </c>
      <c r="E135" s="453"/>
      <c r="F135" s="454" t="s">
        <v>37</v>
      </c>
      <c r="G135" s="446"/>
      <c r="H135" s="145" t="s">
        <v>142</v>
      </c>
    </row>
    <row r="136" spans="1:15" x14ac:dyDescent="0.3">
      <c r="B136" s="9"/>
      <c r="C136" s="130">
        <f>C123</f>
        <v>700000</v>
      </c>
      <c r="D136" s="452">
        <f>SUM(E137:E142)</f>
        <v>2132000</v>
      </c>
      <c r="E136" s="453"/>
      <c r="F136" s="454">
        <f>SUM(G137:G143)</f>
        <v>-1432000</v>
      </c>
      <c r="G136" s="446"/>
      <c r="H136" s="20" t="s">
        <v>143</v>
      </c>
    </row>
    <row r="137" spans="1:15" x14ac:dyDescent="0.3">
      <c r="B137" s="55" t="s">
        <v>53</v>
      </c>
      <c r="C137" s="56">
        <f>C128</f>
        <v>500986267.49999994</v>
      </c>
      <c r="D137" s="17" t="s">
        <v>39</v>
      </c>
      <c r="E137" s="1">
        <f>ROUND(E124*1.05,-4)</f>
        <v>2170000</v>
      </c>
      <c r="F137" s="156" t="s">
        <v>130</v>
      </c>
      <c r="G137" s="54">
        <v>-450000</v>
      </c>
      <c r="H137" s="69" t="s">
        <v>225</v>
      </c>
    </row>
    <row r="138" spans="1:15" x14ac:dyDescent="0.3">
      <c r="B138" s="58" t="s">
        <v>73</v>
      </c>
      <c r="C138" s="59">
        <f>-E142*60</f>
        <v>131674394.16118416</v>
      </c>
      <c r="D138" s="58" t="s">
        <v>71</v>
      </c>
      <c r="E138" s="59">
        <f>D33</f>
        <v>1540000</v>
      </c>
      <c r="F138" s="58" t="s">
        <v>42</v>
      </c>
      <c r="G138" s="59"/>
      <c r="H138" s="20" t="s">
        <v>117</v>
      </c>
      <c r="L138" s="13" t="s">
        <v>307</v>
      </c>
    </row>
    <row r="139" spans="1:15" x14ac:dyDescent="0.3">
      <c r="B139" s="55" t="s">
        <v>66</v>
      </c>
      <c r="C139" s="56">
        <f>C137+C138</f>
        <v>632660661.66118407</v>
      </c>
      <c r="D139" s="60" t="s">
        <v>54</v>
      </c>
      <c r="E139" s="71">
        <f>(E126-(12000*2))*1.025+(12000*2)</f>
        <v>616573.23601973662</v>
      </c>
      <c r="F139" s="58" t="s">
        <v>98</v>
      </c>
      <c r="G139" s="59">
        <f>-70000-(97000-38000)+29000</f>
        <v>-100000</v>
      </c>
      <c r="H139" s="69" t="s">
        <v>240</v>
      </c>
      <c r="L139" s="276" t="s">
        <v>301</v>
      </c>
      <c r="M139" s="276" t="s">
        <v>302</v>
      </c>
      <c r="N139" s="276" t="s">
        <v>303</v>
      </c>
      <c r="O139" s="278" t="s">
        <v>305</v>
      </c>
    </row>
    <row r="140" spans="1:15" ht="17.25" thickBot="1" x14ac:dyDescent="0.35">
      <c r="B140" s="422" t="s">
        <v>84</v>
      </c>
      <c r="C140" s="421">
        <f>200000000*0.02*5</f>
        <v>20000000</v>
      </c>
      <c r="D140" s="120" t="s">
        <v>101</v>
      </c>
      <c r="E140" s="87"/>
      <c r="F140" s="58" t="s">
        <v>46</v>
      </c>
      <c r="G140" s="59">
        <f>-165000-109000-20000</f>
        <v>-294000</v>
      </c>
      <c r="H140" s="275" t="s">
        <v>346</v>
      </c>
      <c r="L140" s="277">
        <f>2200000*12*5+1540000*12*15</f>
        <v>409200000</v>
      </c>
      <c r="M140" s="277">
        <f>-L140*0.04/12</f>
        <v>-1364000</v>
      </c>
      <c r="N140" s="277">
        <f>(C137-20000000)*0.04/12</f>
        <v>1603287.5583333333</v>
      </c>
      <c r="O140" s="14">
        <f>SUM(M140:N140)</f>
        <v>239287.55833333335</v>
      </c>
    </row>
    <row r="141" spans="1:15" ht="17.25" thickBot="1" x14ac:dyDescent="0.35">
      <c r="B141" s="260" t="s">
        <v>276</v>
      </c>
      <c r="C141" s="261">
        <f>C140+C139</f>
        <v>652660661.66118407</v>
      </c>
      <c r="D141" s="129" t="s">
        <v>92</v>
      </c>
      <c r="E141" s="121"/>
      <c r="F141" s="58" t="s">
        <v>47</v>
      </c>
      <c r="G141" s="230">
        <f>ROUND(-200000-600000/12,-3)</f>
        <v>-250000</v>
      </c>
      <c r="H141" s="50" t="s">
        <v>547</v>
      </c>
      <c r="I141" s="17"/>
      <c r="L141" s="115" t="s">
        <v>309</v>
      </c>
    </row>
    <row r="142" spans="1:15" ht="17.25" thickBot="1" x14ac:dyDescent="0.35">
      <c r="B142" s="55" t="s">
        <v>138</v>
      </c>
      <c r="C142" s="56">
        <f>ROUND(현자산!F19*1.05,-5)</f>
        <v>288400000</v>
      </c>
      <c r="D142" s="80" t="s">
        <v>59</v>
      </c>
      <c r="E142" s="81">
        <f>(-F136+C136-SUM(E137:E141))</f>
        <v>-2194573.2360197362</v>
      </c>
      <c r="F142" s="127" t="s">
        <v>270</v>
      </c>
      <c r="G142" s="128">
        <f>-(120000*0+(0+1600)*30)-ROUND(1400000/12,-4)-(20000+30000)</f>
        <v>-218000</v>
      </c>
      <c r="H142" s="20" t="s">
        <v>271</v>
      </c>
      <c r="L142" s="115" t="s">
        <v>311</v>
      </c>
    </row>
    <row r="143" spans="1:15" ht="17.25" thickBot="1" x14ac:dyDescent="0.35">
      <c r="B143" s="425" t="s">
        <v>264</v>
      </c>
      <c r="C143" s="424">
        <f>IF(ROUND((700000000-'보증잔액 Table'!J28),-3)&lt;0,0,ROUND((700000000-'보증잔액 Table'!J28),-3))</f>
        <v>0</v>
      </c>
      <c r="D143" s="20" t="s">
        <v>278</v>
      </c>
      <c r="F143" s="17" t="s">
        <v>50</v>
      </c>
      <c r="G143" s="1">
        <v>-120000</v>
      </c>
      <c r="H143" s="20" t="s">
        <v>257</v>
      </c>
      <c r="L143" s="115" t="s">
        <v>313</v>
      </c>
    </row>
    <row r="144" spans="1:15" ht="17.25" thickBot="1" x14ac:dyDescent="0.35">
      <c r="A144" s="20"/>
      <c r="B144" s="173" t="s">
        <v>139</v>
      </c>
      <c r="C144" s="172">
        <f>SUM(C141:C143)</f>
        <v>941060661.66118407</v>
      </c>
      <c r="D144" s="116" t="s">
        <v>445</v>
      </c>
      <c r="F144" s="17"/>
      <c r="L144" s="115" t="s">
        <v>447</v>
      </c>
    </row>
    <row r="145" spans="1:15" x14ac:dyDescent="0.3">
      <c r="A145" s="20"/>
      <c r="B145" s="213" t="s">
        <v>202</v>
      </c>
      <c r="C145" s="214">
        <f>ROUND(1500000*(12+24+24+60+60)+C144,-3)</f>
        <v>1211061000</v>
      </c>
      <c r="D145" s="116" t="s">
        <v>446</v>
      </c>
      <c r="F145" s="17"/>
    </row>
    <row r="146" spans="1:15" x14ac:dyDescent="0.3">
      <c r="C146" s="69"/>
      <c r="D146" s="69"/>
      <c r="F146" s="428"/>
      <c r="G146" s="429" t="s">
        <v>542</v>
      </c>
    </row>
    <row r="147" spans="1:15" x14ac:dyDescent="0.3">
      <c r="B147" s="47" t="s">
        <v>237</v>
      </c>
      <c r="E147" s="231" t="s">
        <v>541</v>
      </c>
      <c r="F147" s="231">
        <f>G134</f>
        <v>1139000000</v>
      </c>
      <c r="G147" s="232">
        <f>ROUND(C154+C155+(650000000-'보증잔액 Table'!G33),-6)</f>
        <v>1160000000</v>
      </c>
      <c r="H147" s="233" t="s">
        <v>217</v>
      </c>
      <c r="I147" s="234"/>
    </row>
    <row r="148" spans="1:15" x14ac:dyDescent="0.3">
      <c r="B148" s="9" t="s">
        <v>34</v>
      </c>
      <c r="C148" s="10" t="s">
        <v>35</v>
      </c>
      <c r="D148" s="452" t="s">
        <v>36</v>
      </c>
      <c r="E148" s="453"/>
      <c r="F148" s="454" t="s">
        <v>37</v>
      </c>
      <c r="G148" s="446"/>
      <c r="H148" s="145" t="s">
        <v>142</v>
      </c>
    </row>
    <row r="149" spans="1:15" x14ac:dyDescent="0.3">
      <c r="B149" s="9"/>
      <c r="C149" s="130">
        <f>C136</f>
        <v>700000</v>
      </c>
      <c r="D149" s="452">
        <f>SUM(E150:E155)</f>
        <v>2132000</v>
      </c>
      <c r="E149" s="453"/>
      <c r="F149" s="454">
        <f>SUM(G150:G156)</f>
        <v>-1432000</v>
      </c>
      <c r="G149" s="446"/>
      <c r="H149" s="20" t="s">
        <v>143</v>
      </c>
    </row>
    <row r="150" spans="1:15" x14ac:dyDescent="0.3">
      <c r="B150" s="55" t="s">
        <v>53</v>
      </c>
      <c r="C150" s="56">
        <f>C141</f>
        <v>652660661.66118407</v>
      </c>
      <c r="D150" s="17" t="s">
        <v>39</v>
      </c>
      <c r="E150" s="1">
        <f>ROUND(E137*1.05,-4)</f>
        <v>2280000</v>
      </c>
      <c r="F150" s="156" t="s">
        <v>130</v>
      </c>
      <c r="G150" s="54">
        <v>-450000</v>
      </c>
      <c r="H150" s="69" t="s">
        <v>225</v>
      </c>
    </row>
    <row r="151" spans="1:15" x14ac:dyDescent="0.3">
      <c r="B151" s="58" t="s">
        <v>73</v>
      </c>
      <c r="C151" s="59">
        <f>-E155*60</f>
        <v>139163254.01521382</v>
      </c>
      <c r="D151" s="58" t="s">
        <v>71</v>
      </c>
      <c r="E151" s="59">
        <f>D33</f>
        <v>1540000</v>
      </c>
      <c r="F151" s="58" t="s">
        <v>42</v>
      </c>
      <c r="G151" s="59"/>
      <c r="H151" s="20" t="s">
        <v>117</v>
      </c>
      <c r="L151" s="13" t="s">
        <v>308</v>
      </c>
    </row>
    <row r="152" spans="1:15" x14ac:dyDescent="0.3">
      <c r="B152" s="55" t="s">
        <v>66</v>
      </c>
      <c r="C152" s="56">
        <f>C150+C151</f>
        <v>791823915.67639792</v>
      </c>
      <c r="D152" s="60" t="s">
        <v>54</v>
      </c>
      <c r="E152" s="71">
        <f>(E139-(12000*2))*1.025+(12000*2)</f>
        <v>631387.56692022993</v>
      </c>
      <c r="F152" s="58" t="s">
        <v>98</v>
      </c>
      <c r="G152" s="59">
        <f>-70000-(97000-38000)+29000</f>
        <v>-100000</v>
      </c>
      <c r="H152" s="69" t="s">
        <v>240</v>
      </c>
      <c r="L152" s="276" t="s">
        <v>301</v>
      </c>
      <c r="M152" s="276" t="s">
        <v>302</v>
      </c>
      <c r="N152" s="276" t="s">
        <v>303</v>
      </c>
      <c r="O152" s="278" t="s">
        <v>305</v>
      </c>
    </row>
    <row r="153" spans="1:15" ht="17.25" thickBot="1" x14ac:dyDescent="0.35">
      <c r="B153" s="422" t="s">
        <v>84</v>
      </c>
      <c r="C153" s="421">
        <f>200000000*0.02*5</f>
        <v>20000000</v>
      </c>
      <c r="D153" s="120" t="s">
        <v>101</v>
      </c>
      <c r="E153" s="87"/>
      <c r="F153" s="58" t="s">
        <v>46</v>
      </c>
      <c r="G153" s="59">
        <f>-165000-109000-20000</f>
        <v>-294000</v>
      </c>
      <c r="H153" s="275" t="s">
        <v>346</v>
      </c>
      <c r="L153" s="277">
        <f>2200000*12*5+1540000*12*20</f>
        <v>501600000</v>
      </c>
      <c r="M153" s="277">
        <f>-L153*0.04/12</f>
        <v>-1672000</v>
      </c>
      <c r="N153" s="277">
        <f>(C150-20000000)*0.04/12</f>
        <v>2108868.872203947</v>
      </c>
      <c r="O153" s="14">
        <f>SUM(M153:N153)</f>
        <v>436868.87220394704</v>
      </c>
    </row>
    <row r="154" spans="1:15" ht="17.25" thickBot="1" x14ac:dyDescent="0.35">
      <c r="B154" s="260" t="s">
        <v>276</v>
      </c>
      <c r="C154" s="261">
        <f>C153+C152</f>
        <v>811823915.67639792</v>
      </c>
      <c r="D154" s="129" t="s">
        <v>92</v>
      </c>
      <c r="E154" s="121"/>
      <c r="F154" s="228" t="s">
        <v>47</v>
      </c>
      <c r="G154" s="230">
        <f>ROUND(-200000-600000/12,-3)</f>
        <v>-250000</v>
      </c>
      <c r="H154" s="50" t="s">
        <v>547</v>
      </c>
      <c r="I154" s="17"/>
      <c r="L154" s="115" t="s">
        <v>309</v>
      </c>
    </row>
    <row r="155" spans="1:15" ht="17.25" thickBot="1" x14ac:dyDescent="0.35">
      <c r="B155" s="55" t="s">
        <v>138</v>
      </c>
      <c r="C155" s="56">
        <f>ROUND(현자산!E19,-5)</f>
        <v>293400000</v>
      </c>
      <c r="D155" s="80" t="s">
        <v>59</v>
      </c>
      <c r="E155" s="81">
        <f>(-F149+C149-SUM(E150:E154))</f>
        <v>-2319387.5669202302</v>
      </c>
      <c r="F155" s="127" t="s">
        <v>270</v>
      </c>
      <c r="G155" s="128">
        <f>-(120000*0+(0+1600)*30)-ROUND(1400000/12,-4)-(20000+30000)</f>
        <v>-218000</v>
      </c>
      <c r="H155" s="20" t="s">
        <v>271</v>
      </c>
      <c r="L155" s="115" t="s">
        <v>311</v>
      </c>
    </row>
    <row r="156" spans="1:15" ht="17.25" thickBot="1" x14ac:dyDescent="0.35">
      <c r="B156" s="425" t="s">
        <v>264</v>
      </c>
      <c r="C156" s="424">
        <f>IF(ROUND((700000000-'보증잔액 Table'!J33),-3)&lt;0,0,ROUND((700000000-'보증잔액 Table'!J33),-3))</f>
        <v>0</v>
      </c>
      <c r="D156" s="20" t="s">
        <v>278</v>
      </c>
      <c r="F156" s="17" t="s">
        <v>50</v>
      </c>
      <c r="G156" s="1">
        <v>-120000</v>
      </c>
      <c r="H156" s="20" t="s">
        <v>257</v>
      </c>
      <c r="L156" s="115" t="s">
        <v>313</v>
      </c>
    </row>
    <row r="157" spans="1:15" ht="17.25" thickBot="1" x14ac:dyDescent="0.35">
      <c r="B157" s="173" t="s">
        <v>139</v>
      </c>
      <c r="C157" s="172">
        <f>SUM(C154:C156)</f>
        <v>1105223915.6763978</v>
      </c>
      <c r="D157" s="116" t="s">
        <v>445</v>
      </c>
      <c r="F157" s="17"/>
      <c r="L157" s="115" t="s">
        <v>447</v>
      </c>
    </row>
    <row r="158" spans="1:15" x14ac:dyDescent="0.3">
      <c r="B158" s="213" t="s">
        <v>202</v>
      </c>
      <c r="C158" s="214">
        <f>ROUND(1500000*(12+24+24+60+60)+C157,-3)</f>
        <v>1375224000</v>
      </c>
      <c r="D158" s="116" t="s">
        <v>446</v>
      </c>
      <c r="F158" s="17"/>
    </row>
    <row r="159" spans="1:15" x14ac:dyDescent="0.3">
      <c r="C159" s="17"/>
      <c r="D159" s="17"/>
      <c r="E159" s="17"/>
      <c r="F159" s="17"/>
    </row>
    <row r="160" spans="1:15" ht="17.25" thickBot="1" x14ac:dyDescent="0.35">
      <c r="C160" s="236" t="s">
        <v>226</v>
      </c>
    </row>
    <row r="161" spans="1:16" ht="18" thickTop="1" thickBot="1" x14ac:dyDescent="0.35">
      <c r="B161" s="105" t="s">
        <v>85</v>
      </c>
      <c r="C161" s="106">
        <f>SUM(C163:C166)</f>
        <v>1195223915.6763978</v>
      </c>
      <c r="D161" s="69" t="s">
        <v>207</v>
      </c>
      <c r="J161" s="133"/>
      <c r="K161" s="338" t="s">
        <v>453</v>
      </c>
      <c r="L161" s="89"/>
      <c r="M161" s="89"/>
      <c r="N161" s="89"/>
      <c r="O161" s="89"/>
      <c r="P161" s="89"/>
    </row>
    <row r="162" spans="1:16" ht="18" thickTop="1" thickBot="1" x14ac:dyDescent="0.35">
      <c r="B162" s="211" t="s">
        <v>201</v>
      </c>
      <c r="C162" s="212">
        <f>C161+C173</f>
        <v>1465223915.6763978</v>
      </c>
      <c r="D162" s="85" t="s">
        <v>203</v>
      </c>
      <c r="J162" s="133"/>
      <c r="K162" s="1" t="s">
        <v>448</v>
      </c>
    </row>
    <row r="163" spans="1:16" ht="17.25" thickTop="1" x14ac:dyDescent="0.3">
      <c r="B163" s="57" t="s">
        <v>180</v>
      </c>
      <c r="C163" s="96">
        <f>현자산!E19</f>
        <v>293400000</v>
      </c>
      <c r="D163" s="69" t="s">
        <v>443</v>
      </c>
      <c r="K163" s="1" t="s">
        <v>449</v>
      </c>
    </row>
    <row r="164" spans="1:16" x14ac:dyDescent="0.3">
      <c r="B164" s="57" t="s">
        <v>179</v>
      </c>
      <c r="C164" s="96">
        <f>C154</f>
        <v>811823915.67639792</v>
      </c>
      <c r="D164" s="69" t="s">
        <v>444</v>
      </c>
      <c r="K164" s="1" t="s">
        <v>450</v>
      </c>
    </row>
    <row r="165" spans="1:16" x14ac:dyDescent="0.3">
      <c r="B165" s="134" t="s">
        <v>441</v>
      </c>
      <c r="C165" s="326">
        <v>90000000</v>
      </c>
      <c r="D165" s="85" t="s">
        <v>442</v>
      </c>
      <c r="K165" s="329" t="s">
        <v>451</v>
      </c>
    </row>
    <row r="166" spans="1:16" x14ac:dyDescent="0.3">
      <c r="A166" s="109"/>
      <c r="B166" s="427" t="s">
        <v>538</v>
      </c>
      <c r="C166" s="326"/>
      <c r="D166" s="85"/>
      <c r="K166" s="1" t="s">
        <v>452</v>
      </c>
    </row>
    <row r="167" spans="1:16" ht="17.25" thickBot="1" x14ac:dyDescent="0.35">
      <c r="B167" s="109"/>
      <c r="C167" s="108"/>
      <c r="D167" s="85"/>
      <c r="K167" s="363" t="s">
        <v>466</v>
      </c>
    </row>
    <row r="168" spans="1:16" ht="17.25" thickBot="1" x14ac:dyDescent="0.35">
      <c r="B168" s="153" t="s">
        <v>114</v>
      </c>
      <c r="C168" s="144">
        <f>SUM(C169:C171)</f>
        <v>1543728900.3947368</v>
      </c>
      <c r="K168" s="238" t="s">
        <v>455</v>
      </c>
    </row>
    <row r="169" spans="1:16" x14ac:dyDescent="0.3">
      <c r="B169" s="152" t="s">
        <v>39</v>
      </c>
      <c r="C169" s="151">
        <f>(E5*1.5+E18*0.5+E38*1+E54*2+E70*2+E96*5+E110*5+E124*5+E137*5+E150*5)*12</f>
        <v>767136000</v>
      </c>
      <c r="K169" s="238" t="s">
        <v>456</v>
      </c>
    </row>
    <row r="170" spans="1:16" x14ac:dyDescent="0.3">
      <c r="B170" s="152" t="s">
        <v>116</v>
      </c>
      <c r="C170" s="151">
        <f>E40*12+E98*120+E126*180</f>
        <v>182592900.39473683</v>
      </c>
      <c r="D170" s="1" t="s">
        <v>210</v>
      </c>
      <c r="K170" s="238" t="s">
        <v>457</v>
      </c>
    </row>
    <row r="171" spans="1:16" ht="17.25" thickBot="1" x14ac:dyDescent="0.35">
      <c r="B171" s="224" t="s">
        <v>71</v>
      </c>
      <c r="C171" s="225">
        <f>E39*12*5+E97*12*25</f>
        <v>594000000</v>
      </c>
      <c r="D171" s="1" t="s">
        <v>323</v>
      </c>
      <c r="K171" s="238" t="s">
        <v>454</v>
      </c>
    </row>
    <row r="172" spans="1:16" x14ac:dyDescent="0.3">
      <c r="B172" s="208" t="s">
        <v>263</v>
      </c>
      <c r="C172" s="209">
        <f>1500000*12*30</f>
        <v>540000000</v>
      </c>
      <c r="D172" s="1" t="s">
        <v>477</v>
      </c>
    </row>
    <row r="173" spans="1:16" ht="17.25" thickBot="1" x14ac:dyDescent="0.35">
      <c r="B173" s="224" t="s">
        <v>200</v>
      </c>
      <c r="C173" s="225">
        <f>1500000*12*15</f>
        <v>270000000</v>
      </c>
      <c r="D173" s="1" t="s">
        <v>199</v>
      </c>
      <c r="K173" s="338" t="s">
        <v>458</v>
      </c>
      <c r="L173" s="89"/>
      <c r="M173" s="89"/>
      <c r="N173" s="89"/>
      <c r="O173" s="89"/>
      <c r="P173" s="89"/>
    </row>
    <row r="174" spans="1:16" ht="17.25" thickBot="1" x14ac:dyDescent="0.35">
      <c r="B174" s="154" t="s">
        <v>115</v>
      </c>
      <c r="C174" s="155">
        <f>SUM(C169:C173)</f>
        <v>2353728900.3947368</v>
      </c>
      <c r="D174" s="210">
        <f>SUM(C171:C173)</f>
        <v>1404000000</v>
      </c>
      <c r="E174" s="69" t="s">
        <v>204</v>
      </c>
      <c r="K174" s="1" t="s">
        <v>459</v>
      </c>
    </row>
    <row r="175" spans="1:16" ht="17.25" thickBot="1" x14ac:dyDescent="0.35">
      <c r="D175" s="210">
        <f>(1500000*12*15)+D174</f>
        <v>1674000000</v>
      </c>
      <c r="E175" s="69" t="s">
        <v>316</v>
      </c>
      <c r="K175" s="1" t="s">
        <v>460</v>
      </c>
    </row>
    <row r="176" spans="1:16" x14ac:dyDescent="0.3">
      <c r="D176" s="69" t="s">
        <v>214</v>
      </c>
      <c r="K176" s="329" t="s">
        <v>461</v>
      </c>
    </row>
    <row r="177" spans="2:16" x14ac:dyDescent="0.3">
      <c r="D177" s="69" t="s">
        <v>215</v>
      </c>
      <c r="K177" s="59" t="s">
        <v>473</v>
      </c>
    </row>
    <row r="178" spans="2:16" x14ac:dyDescent="0.3">
      <c r="D178" s="69" t="s">
        <v>216</v>
      </c>
      <c r="K178" s="59" t="s">
        <v>494</v>
      </c>
    </row>
    <row r="179" spans="2:16" ht="17.25" thickBot="1" x14ac:dyDescent="0.35">
      <c r="B179" s="289" t="s">
        <v>480</v>
      </c>
      <c r="D179" s="289" t="s">
        <v>475</v>
      </c>
      <c r="K179" s="363" t="s">
        <v>462</v>
      </c>
    </row>
    <row r="180" spans="2:16" ht="17.25" thickBot="1" x14ac:dyDescent="0.35">
      <c r="B180" s="153" t="s">
        <v>114</v>
      </c>
      <c r="C180" s="144">
        <f>SUM(C181:C183)</f>
        <v>1543728900.3947368</v>
      </c>
      <c r="D180" s="1" t="s">
        <v>476</v>
      </c>
      <c r="K180" s="238" t="s">
        <v>463</v>
      </c>
    </row>
    <row r="181" spans="2:16" x14ac:dyDescent="0.3">
      <c r="B181" s="152" t="s">
        <v>39</v>
      </c>
      <c r="C181" s="151">
        <f>C169</f>
        <v>767136000</v>
      </c>
      <c r="K181" s="238" t="s">
        <v>464</v>
      </c>
    </row>
    <row r="182" spans="2:16" x14ac:dyDescent="0.3">
      <c r="B182" s="152" t="s">
        <v>116</v>
      </c>
      <c r="C182" s="151">
        <f t="shared" ref="C182:C183" si="0">C170</f>
        <v>182592900.39473683</v>
      </c>
      <c r="K182" s="238" t="s">
        <v>465</v>
      </c>
    </row>
    <row r="183" spans="2:16" ht="17.25" thickBot="1" x14ac:dyDescent="0.35">
      <c r="B183" s="224" t="s">
        <v>71</v>
      </c>
      <c r="C183" s="225">
        <f t="shared" si="0"/>
        <v>594000000</v>
      </c>
      <c r="D183" s="1" t="s">
        <v>323</v>
      </c>
      <c r="K183" s="238" t="s">
        <v>492</v>
      </c>
    </row>
    <row r="184" spans="2:16" x14ac:dyDescent="0.3">
      <c r="B184" s="208" t="s">
        <v>478</v>
      </c>
      <c r="C184" s="209">
        <f>1500000*12*15</f>
        <v>270000000</v>
      </c>
      <c r="D184" s="1" t="s">
        <v>477</v>
      </c>
      <c r="K184" s="238" t="s">
        <v>493</v>
      </c>
    </row>
    <row r="185" spans="2:16" x14ac:dyDescent="0.3">
      <c r="B185" s="359" t="s">
        <v>479</v>
      </c>
      <c r="C185" s="360">
        <f>1500000*12*15</f>
        <v>270000000</v>
      </c>
    </row>
    <row r="186" spans="2:16" ht="17.25" thickBot="1" x14ac:dyDescent="0.35">
      <c r="B186" s="224" t="s">
        <v>481</v>
      </c>
      <c r="C186" s="225">
        <f>1500000*12*15</f>
        <v>270000000</v>
      </c>
      <c r="K186" s="338" t="s">
        <v>486</v>
      </c>
      <c r="L186" s="89"/>
      <c r="M186" s="89"/>
      <c r="N186" s="89"/>
      <c r="O186" s="89"/>
      <c r="P186" s="89"/>
    </row>
    <row r="187" spans="2:16" ht="17.25" thickBot="1" x14ac:dyDescent="0.35">
      <c r="B187" s="154" t="s">
        <v>115</v>
      </c>
      <c r="C187" s="155">
        <f>SUM(C181:C186)</f>
        <v>2353728900.3947368</v>
      </c>
      <c r="K187" s="1" t="s">
        <v>487</v>
      </c>
    </row>
    <row r="188" spans="2:16" x14ac:dyDescent="0.3">
      <c r="K188" s="1" t="s">
        <v>488</v>
      </c>
    </row>
    <row r="189" spans="2:16" ht="17.25" thickBot="1" x14ac:dyDescent="0.35">
      <c r="B189" s="289" t="s">
        <v>482</v>
      </c>
      <c r="K189" s="329" t="s">
        <v>489</v>
      </c>
    </row>
    <row r="190" spans="2:16" ht="17.25" thickBot="1" x14ac:dyDescent="0.35">
      <c r="B190" s="153" t="s">
        <v>114</v>
      </c>
      <c r="C190" s="144">
        <f>SUM(C191:C193)</f>
        <v>1543728900.3947368</v>
      </c>
      <c r="K190" s="59" t="s">
        <v>491</v>
      </c>
    </row>
    <row r="191" spans="2:16" x14ac:dyDescent="0.3">
      <c r="B191" s="152" t="s">
        <v>39</v>
      </c>
      <c r="C191" s="151">
        <f>C181</f>
        <v>767136000</v>
      </c>
      <c r="K191" s="59" t="s">
        <v>490</v>
      </c>
    </row>
    <row r="192" spans="2:16" x14ac:dyDescent="0.3">
      <c r="B192" s="152" t="s">
        <v>116</v>
      </c>
      <c r="C192" s="151">
        <f>C182</f>
        <v>182592900.39473683</v>
      </c>
    </row>
    <row r="193" spans="2:4" ht="17.25" thickBot="1" x14ac:dyDescent="0.35">
      <c r="B193" s="224" t="s">
        <v>71</v>
      </c>
      <c r="C193" s="225">
        <f>C183</f>
        <v>594000000</v>
      </c>
    </row>
    <row r="194" spans="2:4" x14ac:dyDescent="0.3">
      <c r="B194" s="208" t="s">
        <v>483</v>
      </c>
      <c r="C194" s="209">
        <f>1500000*12*30</f>
        <v>540000000</v>
      </c>
    </row>
    <row r="195" spans="2:4" ht="17.25" thickBot="1" x14ac:dyDescent="0.35">
      <c r="B195" s="224" t="s">
        <v>479</v>
      </c>
      <c r="C195" s="225">
        <f>1500000*12*30</f>
        <v>540000000</v>
      </c>
      <c r="D195" s="1" t="s">
        <v>484</v>
      </c>
    </row>
    <row r="196" spans="2:4" ht="17.25" thickBot="1" x14ac:dyDescent="0.35">
      <c r="B196" s="154" t="s">
        <v>115</v>
      </c>
      <c r="C196" s="155">
        <f>SUM(C191:C195)</f>
        <v>2623728900.3947368</v>
      </c>
    </row>
  </sheetData>
  <mergeCells count="44">
    <mergeCell ref="D3:E3"/>
    <mergeCell ref="F3:G3"/>
    <mergeCell ref="D4:E4"/>
    <mergeCell ref="F4:G4"/>
    <mergeCell ref="D16:E16"/>
    <mergeCell ref="F16:G16"/>
    <mergeCell ref="D17:E17"/>
    <mergeCell ref="F17:G17"/>
    <mergeCell ref="B32:C32"/>
    <mergeCell ref="D32:E32"/>
    <mergeCell ref="B33:C33"/>
    <mergeCell ref="D33:E33"/>
    <mergeCell ref="D36:E36"/>
    <mergeCell ref="F36:G36"/>
    <mergeCell ref="D37:E37"/>
    <mergeCell ref="F37:G37"/>
    <mergeCell ref="D52:E52"/>
    <mergeCell ref="F52:G52"/>
    <mergeCell ref="D53:E53"/>
    <mergeCell ref="F53:G53"/>
    <mergeCell ref="D68:E68"/>
    <mergeCell ref="F68:G68"/>
    <mergeCell ref="D69:E69"/>
    <mergeCell ref="F69:G69"/>
    <mergeCell ref="D94:E94"/>
    <mergeCell ref="F94:G94"/>
    <mergeCell ref="D95:E95"/>
    <mergeCell ref="F95:G95"/>
    <mergeCell ref="D108:E108"/>
    <mergeCell ref="F108:G108"/>
    <mergeCell ref="D109:E109"/>
    <mergeCell ref="F109:G109"/>
    <mergeCell ref="D122:E122"/>
    <mergeCell ref="F122:G122"/>
    <mergeCell ref="D123:E123"/>
    <mergeCell ref="F123:G123"/>
    <mergeCell ref="D149:E149"/>
    <mergeCell ref="F149:G149"/>
    <mergeCell ref="D135:E135"/>
    <mergeCell ref="F135:G135"/>
    <mergeCell ref="D136:E136"/>
    <mergeCell ref="F136:G136"/>
    <mergeCell ref="D148:E148"/>
    <mergeCell ref="F148:G148"/>
  </mergeCells>
  <phoneticPr fontId="2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포장기 셸 개체" shapeId="90185" r:id="rId4">
          <objectPr defaultSize="0" r:id="rId5">
            <anchor moveWithCells="1">
              <from>
                <xdr:col>12</xdr:col>
                <xdr:colOff>0</xdr:colOff>
                <xdr:row>84</xdr:row>
                <xdr:rowOff>47625</xdr:rowOff>
              </from>
              <to>
                <xdr:col>13</xdr:col>
                <xdr:colOff>457200</xdr:colOff>
                <xdr:row>86</xdr:row>
                <xdr:rowOff>133350</xdr:rowOff>
              </to>
            </anchor>
          </objectPr>
        </oleObject>
      </mc:Choice>
      <mc:Fallback>
        <oleObject progId="포장기 셸 개체" shapeId="90185" r:id="rId4"/>
      </mc:Fallback>
    </mc:AlternateContent>
    <mc:AlternateContent xmlns:mc="http://schemas.openxmlformats.org/markup-compatibility/2006">
      <mc:Choice Requires="x14">
        <oleObject progId="포장기 셸 개체" shapeId="90187" r:id="rId6">
          <objectPr defaultSize="0" r:id="rId7">
            <anchor moveWithCells="1">
              <from>
                <xdr:col>11</xdr:col>
                <xdr:colOff>1028700</xdr:colOff>
                <xdr:row>87</xdr:row>
                <xdr:rowOff>85725</xdr:rowOff>
              </from>
              <to>
                <xdr:col>13</xdr:col>
                <xdr:colOff>428625</xdr:colOff>
                <xdr:row>89</xdr:row>
                <xdr:rowOff>180975</xdr:rowOff>
              </to>
            </anchor>
          </objectPr>
        </oleObject>
      </mc:Choice>
      <mc:Fallback>
        <oleObject progId="포장기 셸 개체" shapeId="90187" r:id="rId6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28E0-BF1D-4581-B199-9486D5934D21}">
  <sheetPr>
    <tabColor rgb="FF0CF454"/>
  </sheetPr>
  <dimension ref="A1:P195"/>
  <sheetViews>
    <sheetView topLeftCell="A136" zoomScale="110" zoomScaleNormal="110" workbookViewId="0">
      <selection activeCell="C153" sqref="C153"/>
    </sheetView>
  </sheetViews>
  <sheetFormatPr defaultColWidth="8.625" defaultRowHeight="16.5" x14ac:dyDescent="0.3"/>
  <cols>
    <col min="1" max="1" width="1.625" style="1" customWidth="1"/>
    <col min="2" max="2" width="18.375" style="1" customWidth="1"/>
    <col min="3" max="3" width="16.25" style="1" customWidth="1"/>
    <col min="4" max="4" width="14.75" style="1" customWidth="1"/>
    <col min="5" max="5" width="15.25" style="1" customWidth="1"/>
    <col min="6" max="6" width="16.75" style="1" customWidth="1"/>
    <col min="7" max="7" width="15.5" style="1" customWidth="1"/>
    <col min="8" max="8" width="11.5" style="1" bestFit="1" customWidth="1"/>
    <col min="9" max="9" width="14.625" style="1" bestFit="1" customWidth="1"/>
    <col min="10" max="10" width="14.125" style="1" customWidth="1"/>
    <col min="11" max="11" width="13.125" style="1" customWidth="1"/>
    <col min="12" max="12" width="13.625" style="1" customWidth="1"/>
    <col min="13" max="13" width="12.375" style="1" customWidth="1"/>
    <col min="14" max="14" width="11.625" style="1" customWidth="1"/>
    <col min="15" max="15" width="11.875" style="1" customWidth="1"/>
    <col min="16" max="16384" width="8.625" style="1"/>
  </cols>
  <sheetData>
    <row r="1" spans="2:12" ht="17.25" hidden="1" thickBot="1" x14ac:dyDescent="0.35">
      <c r="B1" s="122"/>
      <c r="J1" s="45"/>
      <c r="K1" s="46"/>
    </row>
    <row r="2" spans="2:12" ht="17.25" hidden="1" thickBot="1" x14ac:dyDescent="0.3">
      <c r="B2" s="47" t="s">
        <v>205</v>
      </c>
      <c r="G2" s="48" t="s">
        <v>33</v>
      </c>
      <c r="J2" s="45"/>
      <c r="K2" s="46"/>
    </row>
    <row r="3" spans="2:12" ht="17.25" hidden="1" thickBot="1" x14ac:dyDescent="0.35">
      <c r="B3" s="9" t="s">
        <v>34</v>
      </c>
      <c r="C3" s="10" t="s">
        <v>35</v>
      </c>
      <c r="D3" s="452" t="s">
        <v>36</v>
      </c>
      <c r="E3" s="453"/>
      <c r="F3" s="454" t="s">
        <v>37</v>
      </c>
      <c r="G3" s="446"/>
      <c r="J3" s="45"/>
      <c r="K3" s="46"/>
    </row>
    <row r="4" spans="2:12" ht="17.25" hidden="1" thickBot="1" x14ac:dyDescent="0.35">
      <c r="B4" s="9" t="s">
        <v>38</v>
      </c>
      <c r="C4" s="14">
        <f>SUM(D4,F4)</f>
        <v>1895000</v>
      </c>
      <c r="D4" s="452">
        <f>SUM(E5:E8)</f>
        <v>5950000</v>
      </c>
      <c r="E4" s="453"/>
      <c r="F4" s="454">
        <f>SUM(G5:G13)</f>
        <v>-4055000</v>
      </c>
      <c r="G4" s="446"/>
      <c r="J4" s="45"/>
      <c r="K4" s="46"/>
    </row>
    <row r="5" spans="2:12" ht="17.25" hidden="1" thickBot="1" x14ac:dyDescent="0.35">
      <c r="D5" s="17" t="s">
        <v>39</v>
      </c>
      <c r="E5" s="1">
        <v>1650000</v>
      </c>
      <c r="F5" s="17" t="s">
        <v>40</v>
      </c>
      <c r="G5" s="1">
        <v>-700000</v>
      </c>
      <c r="J5" s="45"/>
      <c r="K5" s="46"/>
    </row>
    <row r="6" spans="2:12" ht="17.25" hidden="1" thickBot="1" x14ac:dyDescent="0.35">
      <c r="D6" s="17" t="s">
        <v>41</v>
      </c>
      <c r="E6" s="1">
        <v>1000000</v>
      </c>
      <c r="F6" s="17" t="s">
        <v>42</v>
      </c>
      <c r="G6" s="1">
        <v>-400000</v>
      </c>
      <c r="J6" s="45"/>
      <c r="K6" s="46"/>
      <c r="L6" s="50"/>
    </row>
    <row r="7" spans="2:12" ht="17.25" hidden="1" thickBot="1" x14ac:dyDescent="0.35">
      <c r="D7" s="17" t="s">
        <v>43</v>
      </c>
      <c r="E7" s="1">
        <v>2800000</v>
      </c>
      <c r="F7" s="17" t="s">
        <v>44</v>
      </c>
      <c r="G7" s="1">
        <v>-300000</v>
      </c>
      <c r="J7" s="45"/>
      <c r="K7" s="46"/>
    </row>
    <row r="8" spans="2:12" ht="17.25" hidden="1" thickBot="1" x14ac:dyDescent="0.35">
      <c r="D8" s="1" t="s">
        <v>45</v>
      </c>
      <c r="E8" s="1">
        <v>500000</v>
      </c>
      <c r="F8" s="17" t="s">
        <v>46</v>
      </c>
      <c r="G8" s="1">
        <f>-(460000+200000)-100000</f>
        <v>-760000</v>
      </c>
      <c r="J8" s="51"/>
    </row>
    <row r="9" spans="2:12" ht="17.25" hidden="1" thickBot="1" x14ac:dyDescent="0.35">
      <c r="F9" s="17" t="s">
        <v>47</v>
      </c>
      <c r="G9" s="1">
        <v>-400000</v>
      </c>
      <c r="J9" s="51"/>
    </row>
    <row r="10" spans="2:12" ht="17.25" hidden="1" thickBot="1" x14ac:dyDescent="0.35">
      <c r="F10" s="17" t="s">
        <v>48</v>
      </c>
      <c r="G10" s="1">
        <f>-(120000000*0.0425/12)-120000</f>
        <v>-545000</v>
      </c>
      <c r="J10" s="52"/>
    </row>
    <row r="11" spans="2:12" ht="17.25" hidden="1" thickBot="1" x14ac:dyDescent="0.35">
      <c r="F11" s="17" t="s">
        <v>49</v>
      </c>
      <c r="G11" s="1">
        <v>-225000</v>
      </c>
      <c r="J11" s="46"/>
    </row>
    <row r="12" spans="2:12" ht="17.25" hidden="1" thickBot="1" x14ac:dyDescent="0.35">
      <c r="F12" s="17" t="s">
        <v>50</v>
      </c>
      <c r="G12" s="1">
        <v>-225000</v>
      </c>
      <c r="J12" s="53"/>
    </row>
    <row r="13" spans="2:12" ht="17.25" hidden="1" thickBot="1" x14ac:dyDescent="0.35">
      <c r="F13" s="127" t="s">
        <v>51</v>
      </c>
      <c r="G13" s="128">
        <v>-500000</v>
      </c>
      <c r="J13" s="53"/>
    </row>
    <row r="14" spans="2:12" ht="17.25" hidden="1" thickBot="1" x14ac:dyDescent="0.35">
      <c r="F14" s="17"/>
      <c r="J14" s="53"/>
    </row>
    <row r="15" spans="2:12" ht="17.25" hidden="1" thickBot="1" x14ac:dyDescent="0.35">
      <c r="B15" s="47" t="s">
        <v>227</v>
      </c>
    </row>
    <row r="16" spans="2:12" ht="17.25" hidden="1" thickBot="1" x14ac:dyDescent="0.35">
      <c r="B16" s="9" t="s">
        <v>34</v>
      </c>
      <c r="C16" s="10" t="s">
        <v>35</v>
      </c>
      <c r="D16" s="452" t="s">
        <v>36</v>
      </c>
      <c r="E16" s="453"/>
      <c r="F16" s="454" t="s">
        <v>37</v>
      </c>
      <c r="G16" s="446"/>
      <c r="H16" s="20" t="s">
        <v>52</v>
      </c>
    </row>
    <row r="17" spans="2:15" ht="17.25" hidden="1" thickBot="1" x14ac:dyDescent="0.35">
      <c r="B17" s="9"/>
      <c r="C17" s="130">
        <v>1500000</v>
      </c>
      <c r="D17" s="452">
        <f>SUM(E18:E24)</f>
        <v>5125000</v>
      </c>
      <c r="E17" s="453"/>
      <c r="F17" s="454">
        <f>SUM(G18:G28)</f>
        <v>-3625000</v>
      </c>
      <c r="G17" s="446"/>
      <c r="H17" s="69" t="s">
        <v>89</v>
      </c>
    </row>
    <row r="18" spans="2:15" ht="17.25" hidden="1" thickBot="1" x14ac:dyDescent="0.35">
      <c r="B18" s="55" t="s">
        <v>53</v>
      </c>
      <c r="C18" s="56">
        <f>C19+C20+C21</f>
        <v>34500000</v>
      </c>
      <c r="D18" s="17" t="s">
        <v>39</v>
      </c>
      <c r="E18" s="1">
        <v>1690000</v>
      </c>
      <c r="F18" s="156" t="s">
        <v>40</v>
      </c>
      <c r="G18" s="54">
        <v>-700000</v>
      </c>
      <c r="H18" s="103" t="s">
        <v>118</v>
      </c>
    </row>
    <row r="19" spans="2:15" ht="17.25" hidden="1" thickBot="1" x14ac:dyDescent="0.35">
      <c r="B19" s="57" t="s">
        <v>56</v>
      </c>
      <c r="C19" s="57">
        <f>-3000000+4000000</f>
        <v>1000000</v>
      </c>
      <c r="D19" s="17" t="s">
        <v>41</v>
      </c>
      <c r="E19" s="1">
        <v>0</v>
      </c>
      <c r="F19" s="17" t="s">
        <v>42</v>
      </c>
      <c r="G19" s="1">
        <v>-400000</v>
      </c>
    </row>
    <row r="20" spans="2:15" ht="17.25" hidden="1" thickBot="1" x14ac:dyDescent="0.35">
      <c r="B20" s="57" t="s">
        <v>57</v>
      </c>
      <c r="C20" s="60">
        <f>현자산!E14</f>
        <v>18500000</v>
      </c>
      <c r="D20" s="111" t="s">
        <v>54</v>
      </c>
      <c r="E20" s="102"/>
      <c r="F20" s="17" t="s">
        <v>98</v>
      </c>
      <c r="G20" s="1">
        <v>-100000</v>
      </c>
      <c r="H20" s="50" t="s">
        <v>55</v>
      </c>
    </row>
    <row r="21" spans="2:15" ht="17.25" hidden="1" thickBot="1" x14ac:dyDescent="0.35">
      <c r="B21" s="57" t="s">
        <v>58</v>
      </c>
      <c r="C21" s="57">
        <v>15000000</v>
      </c>
      <c r="D21" s="117" t="s">
        <v>96</v>
      </c>
      <c r="E21" s="104">
        <v>300000</v>
      </c>
      <c r="F21" s="135" t="s">
        <v>48</v>
      </c>
      <c r="G21" s="68">
        <f>-ROUND((113000000*0.0425/12)+120000,-3)</f>
        <v>-520000</v>
      </c>
    </row>
    <row r="22" spans="2:15" ht="17.25" hidden="1" thickBot="1" x14ac:dyDescent="0.35">
      <c r="B22" s="65" t="s">
        <v>90</v>
      </c>
      <c r="C22" s="65">
        <v>-50000000</v>
      </c>
      <c r="D22" s="117" t="s">
        <v>97</v>
      </c>
      <c r="E22" s="104"/>
      <c r="F22" s="58" t="s">
        <v>104</v>
      </c>
      <c r="G22" s="59">
        <f>-400000-210000-200000</f>
        <v>-810000</v>
      </c>
      <c r="H22" s="50" t="s">
        <v>102</v>
      </c>
    </row>
    <row r="23" spans="2:15" ht="17.25" hidden="1" thickBot="1" x14ac:dyDescent="0.35">
      <c r="B23" s="65" t="s">
        <v>91</v>
      </c>
      <c r="C23" s="65">
        <v>-2400000</v>
      </c>
      <c r="D23" s="61" t="s">
        <v>43</v>
      </c>
      <c r="E23" s="62">
        <v>0</v>
      </c>
      <c r="F23" s="17" t="s">
        <v>94</v>
      </c>
      <c r="G23" s="1">
        <v>-100000</v>
      </c>
    </row>
    <row r="24" spans="2:15" ht="17.25" hidden="1" thickBot="1" x14ac:dyDescent="0.35">
      <c r="B24" s="71" t="s">
        <v>62</v>
      </c>
      <c r="C24" s="72">
        <f>9370000</f>
        <v>9370000</v>
      </c>
      <c r="D24" s="63" t="s">
        <v>59</v>
      </c>
      <c r="E24" s="64">
        <f>(-F17+C17-SUM(E18:E23))</f>
        <v>3135000</v>
      </c>
      <c r="F24" s="17" t="s">
        <v>95</v>
      </c>
      <c r="G24" s="1">
        <f>-600000/3</f>
        <v>-200000</v>
      </c>
    </row>
    <row r="25" spans="2:15" ht="17.25" hidden="1" thickBot="1" x14ac:dyDescent="0.35">
      <c r="B25" s="17" t="s">
        <v>59</v>
      </c>
      <c r="C25" s="17">
        <f>-E24*4</f>
        <v>-12540000</v>
      </c>
      <c r="F25" s="135" t="s">
        <v>49</v>
      </c>
      <c r="G25" s="68">
        <f>-ROUND(C24*0.04/12,-3)</f>
        <v>-31000</v>
      </c>
      <c r="H25" s="69" t="s">
        <v>61</v>
      </c>
    </row>
    <row r="26" spans="2:15" ht="17.25" hidden="1" thickBot="1" x14ac:dyDescent="0.35">
      <c r="B26" s="55" t="s">
        <v>66</v>
      </c>
      <c r="C26" s="76">
        <f>C18+C24+C25+E28</f>
        <v>19930000</v>
      </c>
      <c r="D26" s="66" t="s">
        <v>60</v>
      </c>
      <c r="E26" s="67">
        <v>29400000</v>
      </c>
      <c r="F26" s="127" t="s">
        <v>93</v>
      </c>
      <c r="G26" s="128">
        <v>-500000</v>
      </c>
      <c r="H26" s="103"/>
    </row>
    <row r="27" spans="2:15" ht="17.25" hidden="1" thickBot="1" x14ac:dyDescent="0.35">
      <c r="D27" s="112">
        <v>46104</v>
      </c>
      <c r="E27" s="70">
        <v>18000000</v>
      </c>
      <c r="F27" s="118" t="s">
        <v>50</v>
      </c>
      <c r="G27" s="119">
        <f>-114000</f>
        <v>-114000</v>
      </c>
      <c r="H27" s="50" t="s">
        <v>63</v>
      </c>
    </row>
    <row r="28" spans="2:15" ht="18" hidden="1" thickTop="1" thickBot="1" x14ac:dyDescent="0.35">
      <c r="D28" s="59"/>
      <c r="E28" s="73">
        <f>E27-E26</f>
        <v>-11400000</v>
      </c>
      <c r="F28" s="118" t="s">
        <v>64</v>
      </c>
      <c r="G28" s="119">
        <f>-(150000*12)/12</f>
        <v>-150000</v>
      </c>
      <c r="H28" s="50" t="s">
        <v>65</v>
      </c>
    </row>
    <row r="29" spans="2:15" ht="17.25" hidden="1" thickBot="1" x14ac:dyDescent="0.35">
      <c r="B29" s="55"/>
      <c r="C29" s="55"/>
      <c r="D29" s="114"/>
      <c r="E29" s="77"/>
      <c r="F29" s="77"/>
      <c r="G29" s="78"/>
      <c r="H29" s="79" t="s">
        <v>67</v>
      </c>
    </row>
    <row r="30" spans="2:15" ht="17.25" hidden="1" thickBot="1" x14ac:dyDescent="0.35">
      <c r="B30" s="55"/>
      <c r="C30" s="55"/>
      <c r="D30" s="114"/>
      <c r="E30" s="77"/>
    </row>
    <row r="31" spans="2:15" ht="19.5" thickTop="1" thickBot="1" x14ac:dyDescent="0.35">
      <c r="B31" s="83" t="s">
        <v>105</v>
      </c>
      <c r="C31" s="84"/>
      <c r="E31" s="84"/>
      <c r="F31" s="84"/>
      <c r="G31" s="223" t="s">
        <v>265</v>
      </c>
      <c r="H31" s="220" t="s">
        <v>209</v>
      </c>
      <c r="I31" s="221"/>
      <c r="J31" s="221"/>
      <c r="K31" s="222"/>
      <c r="M31" s="282" t="s">
        <v>322</v>
      </c>
      <c r="N31" s="284"/>
      <c r="O31" s="284"/>
    </row>
    <row r="32" spans="2:15" ht="17.25" thickTop="1" x14ac:dyDescent="0.3">
      <c r="B32" s="455" t="s">
        <v>238</v>
      </c>
      <c r="C32" s="456"/>
      <c r="D32" s="457" t="s">
        <v>239</v>
      </c>
      <c r="E32" s="458"/>
      <c r="F32" s="11" t="s">
        <v>68</v>
      </c>
      <c r="G32" s="49" t="s">
        <v>69</v>
      </c>
      <c r="H32" s="50" t="s">
        <v>255</v>
      </c>
      <c r="I32" s="85"/>
      <c r="K32" s="85"/>
      <c r="M32" s="283" t="s">
        <v>325</v>
      </c>
      <c r="N32" s="284"/>
      <c r="O32" s="284"/>
    </row>
    <row r="33" spans="2:15" x14ac:dyDescent="0.3">
      <c r="B33" s="455">
        <f>ROUND(2203450*1,-4)</f>
        <v>2200000</v>
      </c>
      <c r="C33" s="456"/>
      <c r="D33" s="457">
        <f>ROUND(1542420*1,-4)</f>
        <v>1540000</v>
      </c>
      <c r="E33" s="458"/>
      <c r="F33" s="86">
        <v>685000000</v>
      </c>
      <c r="G33" s="49" t="s">
        <v>70</v>
      </c>
      <c r="H33" s="20" t="s">
        <v>254</v>
      </c>
      <c r="I33" s="69"/>
      <c r="J33" s="85"/>
      <c r="K33" s="85"/>
      <c r="M33" s="283" t="s">
        <v>324</v>
      </c>
      <c r="N33" s="284"/>
      <c r="O33" s="284"/>
    </row>
    <row r="34" spans="2:15" x14ac:dyDescent="0.3">
      <c r="C34" s="136"/>
      <c r="D34" s="136"/>
      <c r="E34" s="136"/>
      <c r="I34" s="226"/>
      <c r="J34" s="69"/>
      <c r="K34" s="85"/>
    </row>
    <row r="35" spans="2:15" x14ac:dyDescent="0.25">
      <c r="B35" s="47" t="s">
        <v>228</v>
      </c>
      <c r="G35" s="48" t="s">
        <v>182</v>
      </c>
      <c r="H35" s="227" t="s">
        <v>211</v>
      </c>
    </row>
    <row r="36" spans="2:15" x14ac:dyDescent="0.3">
      <c r="B36" s="9" t="s">
        <v>34</v>
      </c>
      <c r="C36" s="10" t="s">
        <v>35</v>
      </c>
      <c r="D36" s="452" t="s">
        <v>36</v>
      </c>
      <c r="E36" s="453"/>
      <c r="F36" s="454" t="s">
        <v>37</v>
      </c>
      <c r="G36" s="446"/>
      <c r="H36" s="20" t="s">
        <v>222</v>
      </c>
    </row>
    <row r="37" spans="2:15" x14ac:dyDescent="0.3">
      <c r="B37" s="9"/>
      <c r="C37" s="130">
        <f>C17-500000</f>
        <v>1000000</v>
      </c>
      <c r="D37" s="452">
        <f>SUM(E38:E44)</f>
        <v>4671500</v>
      </c>
      <c r="E37" s="453"/>
      <c r="F37" s="454">
        <f>SUM(G38:G49)</f>
        <v>-3671500</v>
      </c>
      <c r="G37" s="446"/>
      <c r="H37" s="69" t="s">
        <v>297</v>
      </c>
    </row>
    <row r="38" spans="2:15" ht="17.25" thickBot="1" x14ac:dyDescent="0.35">
      <c r="B38" s="55" t="s">
        <v>53</v>
      </c>
      <c r="C38" s="56">
        <f>C26+C39+(300000*2+140000)</f>
        <v>20670000</v>
      </c>
      <c r="D38" s="17" t="s">
        <v>39</v>
      </c>
      <c r="E38" s="1">
        <f>ROUND(E18*1,-4)</f>
        <v>1690000</v>
      </c>
      <c r="F38" s="156" t="s">
        <v>130</v>
      </c>
      <c r="G38" s="54">
        <v>-650000</v>
      </c>
      <c r="H38" s="103" t="s">
        <v>417</v>
      </c>
      <c r="I38" s="17"/>
      <c r="J38" s="133"/>
    </row>
    <row r="39" spans="2:15" ht="17.25" thickBot="1" x14ac:dyDescent="0.35">
      <c r="B39" s="149" t="s">
        <v>110</v>
      </c>
      <c r="C39" s="150"/>
      <c r="D39" s="107" t="s">
        <v>71</v>
      </c>
      <c r="E39" s="59">
        <f>B33</f>
        <v>2200000</v>
      </c>
      <c r="F39" s="58" t="s">
        <v>42</v>
      </c>
      <c r="G39" s="59">
        <f>-ROUND((400000*5+50000*7)/12,-3)</f>
        <v>-196000</v>
      </c>
      <c r="H39" s="369" t="s">
        <v>500</v>
      </c>
      <c r="I39" s="370"/>
      <c r="J39" s="370"/>
      <c r="K39" s="370"/>
      <c r="L39" s="370"/>
      <c r="M39" s="370"/>
      <c r="N39" s="370"/>
    </row>
    <row r="40" spans="2:15" x14ac:dyDescent="0.3">
      <c r="B40" s="216" t="s">
        <v>277</v>
      </c>
      <c r="C40" s="256">
        <f>ROUND(-(230000+1500000)-1170000-(3100000-1000000),-4)</f>
        <v>-5000000</v>
      </c>
      <c r="D40" s="137" t="s">
        <v>54</v>
      </c>
      <c r="E40" s="71">
        <f>ROUND(349700*(1+0.5)*0.8+(12000*2)*11/12,0)</f>
        <v>441640</v>
      </c>
      <c r="F40" s="58" t="s">
        <v>98</v>
      </c>
      <c r="G40" s="59">
        <f>-55000-32000-34000-5500-24000</f>
        <v>-150500</v>
      </c>
      <c r="H40" s="88" t="s">
        <v>416</v>
      </c>
      <c r="I40" s="58"/>
      <c r="J40" s="59"/>
    </row>
    <row r="41" spans="2:15" x14ac:dyDescent="0.3">
      <c r="B41" s="148" t="s">
        <v>99</v>
      </c>
      <c r="C41" s="148"/>
      <c r="D41" s="120" t="s">
        <v>101</v>
      </c>
      <c r="E41" s="169">
        <f>ROUND((500000*12+700000)/12,-3)</f>
        <v>558000</v>
      </c>
      <c r="F41" s="135" t="s">
        <v>48</v>
      </c>
      <c r="G41" s="68">
        <f>-ROUND(((115640000+0)*0.0412/12)+120000,-3)</f>
        <v>-517000</v>
      </c>
      <c r="H41" s="280" t="s">
        <v>321</v>
      </c>
      <c r="I41" s="17"/>
    </row>
    <row r="42" spans="2:15" ht="17.25" thickBot="1" x14ac:dyDescent="0.35">
      <c r="B42" s="340" t="s">
        <v>100</v>
      </c>
      <c r="C42" s="340">
        <v>-5000000</v>
      </c>
      <c r="D42" s="117" t="s">
        <v>92</v>
      </c>
      <c r="E42" s="121">
        <v>300000</v>
      </c>
      <c r="F42" s="58" t="s">
        <v>46</v>
      </c>
      <c r="G42" s="59">
        <f>ROUND(-165000-207000-30000-19900-(54000*3/12),-3)</f>
        <v>-435000</v>
      </c>
      <c r="H42" s="50" t="s">
        <v>342</v>
      </c>
      <c r="I42" s="58"/>
      <c r="J42" s="59"/>
    </row>
    <row r="43" spans="2:15" ht="17.25" thickBot="1" x14ac:dyDescent="0.35">
      <c r="B43" s="258" t="s">
        <v>62</v>
      </c>
      <c r="C43" s="259"/>
      <c r="D43" s="61" t="s">
        <v>43</v>
      </c>
      <c r="E43" s="62"/>
      <c r="F43" s="55" t="s">
        <v>47</v>
      </c>
      <c r="G43" s="13">
        <f>ROUND(-300000-(600000+360000+100000+250000)/12,-3)</f>
        <v>-409000</v>
      </c>
      <c r="H43" s="50" t="s">
        <v>272</v>
      </c>
      <c r="I43" s="17"/>
    </row>
    <row r="44" spans="2:15" ht="17.25" thickBot="1" x14ac:dyDescent="0.35">
      <c r="B44" s="58" t="s">
        <v>73</v>
      </c>
      <c r="C44" s="59">
        <f>-E44*12</f>
        <v>6217680</v>
      </c>
      <c r="D44" s="80" t="s">
        <v>59</v>
      </c>
      <c r="E44" s="81">
        <f>(-F37+C37-SUM(E38:E43))</f>
        <v>-518140</v>
      </c>
      <c r="F44" s="55" t="s">
        <v>112</v>
      </c>
      <c r="G44" s="47">
        <f>-ROUND(1000000/12,-3)-ROUND(1200000/12,-3)-ROUND(600000/12,-3)</f>
        <v>-233000</v>
      </c>
      <c r="H44" s="235" t="s">
        <v>268</v>
      </c>
      <c r="J44" s="132"/>
    </row>
    <row r="45" spans="2:15" ht="17.25" thickBot="1" x14ac:dyDescent="0.3">
      <c r="B45" s="260" t="s">
        <v>66</v>
      </c>
      <c r="C45" s="261">
        <f>C38+C40+C41+C42+C43+C44</f>
        <v>16887680</v>
      </c>
      <c r="D45" s="362">
        <f>C45-실사용현황!D4</f>
        <v>18457924</v>
      </c>
      <c r="E45" s="348" t="s">
        <v>434</v>
      </c>
      <c r="F45" s="135" t="s">
        <v>49</v>
      </c>
      <c r="G45" s="82">
        <f>-ROUND((C24*0.04/12)+(C43*0.05/12*0.4),-3)</f>
        <v>-31000</v>
      </c>
      <c r="H45" s="88"/>
      <c r="I45" s="134"/>
      <c r="J45" s="47"/>
    </row>
    <row r="46" spans="2:15" x14ac:dyDescent="0.3">
      <c r="B46" s="55" t="s">
        <v>138</v>
      </c>
      <c r="C46" s="56">
        <f>ROUND(현자산!G$19*0.85,-3)</f>
        <v>190755000</v>
      </c>
      <c r="D46" s="349">
        <f>D45-C45</f>
        <v>1570244</v>
      </c>
      <c r="E46" s="350" t="s">
        <v>435</v>
      </c>
      <c r="F46" s="127" t="s">
        <v>270</v>
      </c>
      <c r="G46" s="128">
        <f>-500000-ROUND(1400000/12,-4)-(20000+30000)</f>
        <v>-670000</v>
      </c>
      <c r="H46" s="20" t="s">
        <v>374</v>
      </c>
      <c r="I46" s="17"/>
    </row>
    <row r="47" spans="2:15" ht="17.25" thickBot="1" x14ac:dyDescent="0.35">
      <c r="B47" s="55" t="s">
        <v>264</v>
      </c>
      <c r="C47" s="56">
        <f>ROUND((700000000-'보증잔액 Table'!J4),-3)+C$85</f>
        <v>825075000</v>
      </c>
      <c r="F47" s="135" t="s">
        <v>50</v>
      </c>
      <c r="G47" s="68">
        <v>-120000</v>
      </c>
      <c r="H47" s="116" t="s">
        <v>106</v>
      </c>
      <c r="I47" s="77"/>
      <c r="J47" s="78"/>
    </row>
    <row r="48" spans="2:15" ht="17.25" thickBot="1" x14ac:dyDescent="0.35">
      <c r="B48" s="250" t="s">
        <v>139</v>
      </c>
      <c r="C48" s="172">
        <f>SUM(C45:C47)</f>
        <v>1032717680</v>
      </c>
      <c r="D48" s="253" t="s">
        <v>269</v>
      </c>
      <c r="E48" s="131"/>
      <c r="F48" s="74" t="s">
        <v>275</v>
      </c>
      <c r="G48" s="75">
        <f>-ROUND((102770+84080+83070)/12,-3)-ROUND(50000*9/12,-3)</f>
        <v>-60000</v>
      </c>
      <c r="H48" s="116" t="s">
        <v>107</v>
      </c>
      <c r="I48" s="77"/>
      <c r="J48" s="78"/>
    </row>
    <row r="49" spans="2:10" ht="17.25" thickBot="1" x14ac:dyDescent="0.35">
      <c r="B49" s="213" t="s">
        <v>202</v>
      </c>
      <c r="C49" s="214">
        <f>ROUND(1500000*12,-3)+C48</f>
        <v>1050717680</v>
      </c>
      <c r="F49" s="146" t="s">
        <v>113</v>
      </c>
      <c r="G49" s="147">
        <f>-600000*4/12</f>
        <v>-200000</v>
      </c>
      <c r="H49" s="20" t="s">
        <v>257</v>
      </c>
      <c r="I49" s="77"/>
      <c r="J49" s="78"/>
    </row>
    <row r="50" spans="2:10" x14ac:dyDescent="0.3">
      <c r="I50" s="77"/>
      <c r="J50" s="78"/>
    </row>
    <row r="51" spans="2:10" x14ac:dyDescent="0.25">
      <c r="B51" s="47" t="s">
        <v>229</v>
      </c>
      <c r="G51" s="48" t="s">
        <v>182</v>
      </c>
      <c r="H51" s="145" t="s">
        <v>183</v>
      </c>
    </row>
    <row r="52" spans="2:10" x14ac:dyDescent="0.3">
      <c r="B52" s="9" t="s">
        <v>34</v>
      </c>
      <c r="C52" s="10" t="s">
        <v>35</v>
      </c>
      <c r="D52" s="452" t="s">
        <v>36</v>
      </c>
      <c r="E52" s="453"/>
      <c r="F52" s="454" t="s">
        <v>37</v>
      </c>
      <c r="G52" s="446"/>
      <c r="H52" s="20" t="s">
        <v>222</v>
      </c>
    </row>
    <row r="53" spans="2:10" x14ac:dyDescent="0.3">
      <c r="B53" s="9"/>
      <c r="C53" s="130">
        <f>C37</f>
        <v>1000000</v>
      </c>
      <c r="D53" s="452">
        <f>SUM(E54:E60)</f>
        <v>4466400</v>
      </c>
      <c r="E53" s="453"/>
      <c r="F53" s="454">
        <f>SUM(G54:G65)</f>
        <v>-3466400</v>
      </c>
      <c r="G53" s="446"/>
      <c r="H53" s="69" t="s">
        <v>223</v>
      </c>
    </row>
    <row r="54" spans="2:10" ht="17.25" thickBot="1" x14ac:dyDescent="0.35">
      <c r="B54" s="55" t="s">
        <v>53</v>
      </c>
      <c r="C54" s="56">
        <f>C45</f>
        <v>16887680</v>
      </c>
      <c r="D54" s="17" t="s">
        <v>39</v>
      </c>
      <c r="E54" s="1">
        <f>ROUND(E38*1.03,-3)</f>
        <v>1741000</v>
      </c>
      <c r="F54" s="156" t="s">
        <v>130</v>
      </c>
      <c r="G54" s="54">
        <v>-650000</v>
      </c>
      <c r="H54" s="275" t="s">
        <v>296</v>
      </c>
      <c r="I54" s="17"/>
      <c r="J54" s="133"/>
    </row>
    <row r="55" spans="2:10" ht="17.25" thickBot="1" x14ac:dyDescent="0.35">
      <c r="B55" s="149" t="s">
        <v>110</v>
      </c>
      <c r="C55" s="150"/>
      <c r="D55" s="107" t="s">
        <v>71</v>
      </c>
      <c r="E55" s="59">
        <f>B33</f>
        <v>2200000</v>
      </c>
      <c r="F55" s="58" t="s">
        <v>42</v>
      </c>
      <c r="G55" s="59">
        <v>-50000</v>
      </c>
    </row>
    <row r="56" spans="2:10" x14ac:dyDescent="0.3">
      <c r="B56" s="141" t="s">
        <v>72</v>
      </c>
      <c r="C56" s="113"/>
      <c r="D56" s="137" t="s">
        <v>54</v>
      </c>
      <c r="E56" s="71">
        <f>ROUND(349700*(1+0.5)*0.85,-4)+(12000*2)</f>
        <v>474000</v>
      </c>
      <c r="F56" s="58" t="s">
        <v>98</v>
      </c>
      <c r="G56" s="59">
        <f>-55000-32000-34000-5500-24000</f>
        <v>-150500</v>
      </c>
      <c r="H56" s="88" t="s">
        <v>416</v>
      </c>
      <c r="I56" s="58"/>
      <c r="J56" s="59"/>
    </row>
    <row r="57" spans="2:10" x14ac:dyDescent="0.3">
      <c r="B57" s="148" t="s">
        <v>99</v>
      </c>
      <c r="C57" s="148"/>
      <c r="D57" s="120" t="s">
        <v>101</v>
      </c>
      <c r="E57" s="169">
        <v>500000</v>
      </c>
      <c r="F57" s="135" t="s">
        <v>48</v>
      </c>
      <c r="G57" s="68">
        <f>-ROUND(((115640000+C42+C58/2)*0.0412/12)+120000,-3)</f>
        <v>-476000</v>
      </c>
      <c r="I57" s="17"/>
    </row>
    <row r="58" spans="2:10" ht="17.25" thickBot="1" x14ac:dyDescent="0.35">
      <c r="B58" s="340" t="s">
        <v>100</v>
      </c>
      <c r="C58" s="340">
        <v>-14000000</v>
      </c>
      <c r="D58" s="129" t="s">
        <v>92</v>
      </c>
      <c r="E58" s="121">
        <v>300000</v>
      </c>
      <c r="F58" s="58" t="s">
        <v>46</v>
      </c>
      <c r="G58" s="59">
        <f>-165000-207000-30000-19900</f>
        <v>-421900</v>
      </c>
      <c r="H58" s="50" t="s">
        <v>343</v>
      </c>
      <c r="I58" s="58"/>
      <c r="J58" s="59"/>
    </row>
    <row r="59" spans="2:10" ht="17.25" thickBot="1" x14ac:dyDescent="0.35">
      <c r="B59" s="258" t="s">
        <v>62</v>
      </c>
      <c r="C59" s="259"/>
      <c r="D59" s="257" t="s">
        <v>43</v>
      </c>
      <c r="E59" s="62"/>
      <c r="F59" s="55" t="s">
        <v>47</v>
      </c>
      <c r="G59" s="13">
        <f>ROUND(-300000-(600000+360000+100000+250000)/12,-3)</f>
        <v>-409000</v>
      </c>
      <c r="H59" s="50" t="s">
        <v>272</v>
      </c>
      <c r="I59" s="17"/>
    </row>
    <row r="60" spans="2:10" ht="17.25" thickBot="1" x14ac:dyDescent="0.35">
      <c r="B60" s="58" t="s">
        <v>73</v>
      </c>
      <c r="C60" s="59">
        <f>-E60*24</f>
        <v>17966400</v>
      </c>
      <c r="D60" s="80" t="s">
        <v>59</v>
      </c>
      <c r="E60" s="81">
        <f>(-F53+C53-SUM(E54:E59))</f>
        <v>-748600</v>
      </c>
      <c r="F60" s="55" t="s">
        <v>112</v>
      </c>
      <c r="G60" s="47">
        <f>-ROUND(1000000/12,-3)-ROUND(1200000/12,-3)-ROUND(600000/12,-3)</f>
        <v>-233000</v>
      </c>
      <c r="H60" s="235" t="s">
        <v>268</v>
      </c>
      <c r="J60" s="132"/>
    </row>
    <row r="61" spans="2:10" ht="17.25" thickBot="1" x14ac:dyDescent="0.35">
      <c r="B61" s="260" t="s">
        <v>66</v>
      </c>
      <c r="C61" s="261">
        <f>C54+C56+C57+C58+C59+C60</f>
        <v>20854080</v>
      </c>
      <c r="E61" s="131"/>
      <c r="F61" s="17" t="s">
        <v>49</v>
      </c>
      <c r="G61" s="82">
        <f>-ROUND((C24*0.04/12)+(C43*0.05/12)+(C59*0.055/12*0.7),-3)</f>
        <v>-31000</v>
      </c>
      <c r="H61" s="88"/>
      <c r="I61" s="134"/>
      <c r="J61" s="47"/>
    </row>
    <row r="62" spans="2:10" x14ac:dyDescent="0.3">
      <c r="B62" s="55" t="s">
        <v>138</v>
      </c>
      <c r="C62" s="56">
        <f>ROUND(현자산!G$19*0.88,-3)</f>
        <v>197488000</v>
      </c>
      <c r="D62" s="1">
        <f>현자산!F$19</f>
        <v>274630000</v>
      </c>
      <c r="E62" s="50" t="s">
        <v>140</v>
      </c>
      <c r="F62" s="127" t="s">
        <v>270</v>
      </c>
      <c r="G62" s="128">
        <f>-500000-ROUND(1400000/12,-4)-(20000+30000)</f>
        <v>-670000</v>
      </c>
      <c r="H62" s="20" t="s">
        <v>374</v>
      </c>
      <c r="I62" s="17"/>
    </row>
    <row r="63" spans="2:10" ht="17.25" thickBot="1" x14ac:dyDescent="0.35">
      <c r="B63" s="55" t="s">
        <v>264</v>
      </c>
      <c r="C63" s="56">
        <f>ROUND((700000000-'보증잔액 Table'!J6),-3)+C$85</f>
        <v>764577000</v>
      </c>
      <c r="D63" s="2">
        <f>SUM(C61,D62,C63)</f>
        <v>1060061080</v>
      </c>
      <c r="E63" s="2" t="s">
        <v>532</v>
      </c>
      <c r="F63" s="135" t="s">
        <v>119</v>
      </c>
      <c r="G63" s="68">
        <v>-120000</v>
      </c>
      <c r="H63" s="116" t="s">
        <v>106</v>
      </c>
      <c r="I63" s="77"/>
      <c r="J63" s="78"/>
    </row>
    <row r="64" spans="2:10" ht="17.25" thickBot="1" x14ac:dyDescent="0.35">
      <c r="B64" s="250" t="s">
        <v>139</v>
      </c>
      <c r="C64" s="172">
        <f>SUM(C61:C63)</f>
        <v>982919080</v>
      </c>
      <c r="D64" s="253" t="s">
        <v>269</v>
      </c>
      <c r="F64" s="74" t="s">
        <v>275</v>
      </c>
      <c r="G64" s="75">
        <v>-55000</v>
      </c>
      <c r="H64" s="116" t="s">
        <v>107</v>
      </c>
      <c r="I64" s="77"/>
      <c r="J64" s="78"/>
    </row>
    <row r="65" spans="2:12" ht="17.25" thickBot="1" x14ac:dyDescent="0.35">
      <c r="B65" s="213" t="s">
        <v>202</v>
      </c>
      <c r="C65" s="214">
        <f>ROUND(1500000*(12+24)+C64,-3)</f>
        <v>1036919000</v>
      </c>
      <c r="F65" s="146" t="s">
        <v>113</v>
      </c>
      <c r="G65" s="147">
        <f>-600000*4/12</f>
        <v>-200000</v>
      </c>
      <c r="H65" s="20" t="s">
        <v>257</v>
      </c>
      <c r="I65" s="77"/>
      <c r="J65" s="78"/>
    </row>
    <row r="66" spans="2:12" x14ac:dyDescent="0.3">
      <c r="I66" s="77"/>
      <c r="J66" s="78"/>
    </row>
    <row r="67" spans="2:12" x14ac:dyDescent="0.25">
      <c r="B67" s="47" t="s">
        <v>230</v>
      </c>
      <c r="G67" s="48" t="s">
        <v>182</v>
      </c>
      <c r="H67" s="145" t="s">
        <v>183</v>
      </c>
    </row>
    <row r="68" spans="2:12" x14ac:dyDescent="0.3">
      <c r="B68" s="9" t="s">
        <v>34</v>
      </c>
      <c r="C68" s="10" t="s">
        <v>35</v>
      </c>
      <c r="D68" s="452" t="s">
        <v>36</v>
      </c>
      <c r="E68" s="453"/>
      <c r="F68" s="454" t="s">
        <v>37</v>
      </c>
      <c r="G68" s="446"/>
      <c r="H68" s="20" t="s">
        <v>222</v>
      </c>
    </row>
    <row r="69" spans="2:12" x14ac:dyDescent="0.3">
      <c r="B69" s="9"/>
      <c r="C69" s="130">
        <f>C53</f>
        <v>1000000</v>
      </c>
      <c r="D69" s="452">
        <f>SUM(E70:E76)</f>
        <v>4416500</v>
      </c>
      <c r="E69" s="453"/>
      <c r="F69" s="454">
        <f>SUM(G70:G81)</f>
        <v>-3416500</v>
      </c>
      <c r="G69" s="446"/>
      <c r="H69" s="69" t="s">
        <v>223</v>
      </c>
    </row>
    <row r="70" spans="2:12" ht="17.25" thickBot="1" x14ac:dyDescent="0.35">
      <c r="B70" s="55" t="s">
        <v>53</v>
      </c>
      <c r="C70" s="56">
        <f>C61</f>
        <v>20854080</v>
      </c>
      <c r="D70" s="17" t="s">
        <v>39</v>
      </c>
      <c r="E70" s="1">
        <f>ROUND(E54*1.03,-3)</f>
        <v>1793000</v>
      </c>
      <c r="F70" s="156" t="s">
        <v>130</v>
      </c>
      <c r="G70" s="54">
        <v>-650000</v>
      </c>
      <c r="H70" s="275" t="s">
        <v>296</v>
      </c>
      <c r="I70" s="17"/>
    </row>
    <row r="71" spans="2:12" ht="17.25" thickBot="1" x14ac:dyDescent="0.35">
      <c r="B71" s="149" t="s">
        <v>110</v>
      </c>
      <c r="C71" s="150"/>
      <c r="D71" s="107" t="s">
        <v>71</v>
      </c>
      <c r="E71" s="59">
        <f>B33</f>
        <v>2200000</v>
      </c>
      <c r="F71" s="58" t="s">
        <v>42</v>
      </c>
      <c r="G71" s="59">
        <v>-50000</v>
      </c>
      <c r="I71" s="58"/>
      <c r="J71" s="59"/>
    </row>
    <row r="72" spans="2:12" x14ac:dyDescent="0.3">
      <c r="B72" s="141" t="s">
        <v>72</v>
      </c>
      <c r="C72" s="113"/>
      <c r="D72" s="137" t="s">
        <v>54</v>
      </c>
      <c r="E72" s="71">
        <f>ROUND((349700*1.02)*(1+0.5)*0.95,-4)+(12000*2)</f>
        <v>534000</v>
      </c>
      <c r="F72" s="58" t="s">
        <v>98</v>
      </c>
      <c r="G72" s="59">
        <f>-55000-32000-34000-5500-24000</f>
        <v>-150500</v>
      </c>
      <c r="H72" s="88" t="s">
        <v>416</v>
      </c>
      <c r="I72" s="58"/>
      <c r="J72" s="59"/>
    </row>
    <row r="73" spans="2:12" x14ac:dyDescent="0.3">
      <c r="B73" s="148" t="s">
        <v>99</v>
      </c>
      <c r="C73" s="148"/>
      <c r="D73" s="120" t="s">
        <v>101</v>
      </c>
      <c r="E73" s="169">
        <v>500000</v>
      </c>
      <c r="F73" s="135" t="s">
        <v>48</v>
      </c>
      <c r="G73" s="68">
        <f>-ROUND(((115640000+C42+C58+C74/2)*0.0412/12)+120000,-3)</f>
        <v>-417000</v>
      </c>
    </row>
    <row r="74" spans="2:12" ht="17.25" thickBot="1" x14ac:dyDescent="0.35">
      <c r="B74" s="340" t="s">
        <v>100</v>
      </c>
      <c r="C74" s="340">
        <v>-20000000</v>
      </c>
      <c r="D74" s="129" t="s">
        <v>92</v>
      </c>
      <c r="E74" s="121">
        <v>300000</v>
      </c>
      <c r="F74" s="58" t="s">
        <v>46</v>
      </c>
      <c r="G74" s="59">
        <f>ROUND(-165000-(207000*19+109000*5)/24-30000-19900,-3)</f>
        <v>-401000</v>
      </c>
      <c r="H74" s="50" t="s">
        <v>344</v>
      </c>
      <c r="I74" s="58"/>
      <c r="J74" s="59"/>
    </row>
    <row r="75" spans="2:12" ht="17.25" thickBot="1" x14ac:dyDescent="0.35">
      <c r="B75" s="258" t="s">
        <v>62</v>
      </c>
      <c r="C75" s="259"/>
      <c r="D75" s="61" t="s">
        <v>43</v>
      </c>
      <c r="E75" s="62">
        <v>0</v>
      </c>
      <c r="F75" s="55" t="s">
        <v>47</v>
      </c>
      <c r="G75" s="13">
        <f>ROUND(-300000-(600000+360000+100000+250000)/12,-3)</f>
        <v>-409000</v>
      </c>
      <c r="H75" s="50" t="s">
        <v>272</v>
      </c>
      <c r="I75" s="229"/>
      <c r="J75" s="230"/>
    </row>
    <row r="76" spans="2:12" ht="17.25" thickBot="1" x14ac:dyDescent="0.35">
      <c r="B76" s="58" t="s">
        <v>73</v>
      </c>
      <c r="C76" s="59">
        <f>-E76*24</f>
        <v>21852000</v>
      </c>
      <c r="D76" s="80" t="s">
        <v>59</v>
      </c>
      <c r="E76" s="81">
        <f>(-F69+C69-SUM(E70:E75))</f>
        <v>-910500</v>
      </c>
      <c r="F76" s="55" t="s">
        <v>112</v>
      </c>
      <c r="G76" s="47">
        <f>-ROUND(1000000/12,-3)-ROUND(1200000/12,-3)-ROUND(600000/12,-3)</f>
        <v>-233000</v>
      </c>
      <c r="H76" s="235" t="s">
        <v>268</v>
      </c>
      <c r="I76" s="17"/>
    </row>
    <row r="77" spans="2:12" ht="17.25" thickBot="1" x14ac:dyDescent="0.35">
      <c r="B77" s="260" t="s">
        <v>66</v>
      </c>
      <c r="C77" s="261">
        <f>C70+C72+C73+C74+C75+C76</f>
        <v>22706080</v>
      </c>
      <c r="E77" s="131"/>
      <c r="F77" s="135" t="s">
        <v>49</v>
      </c>
      <c r="G77" s="82">
        <f>-ROUND((C24*0.04/12)+(C43*0.05/12)+(C59*0.055/12)+(C75*0.055/12*0.5),-3)</f>
        <v>-31000</v>
      </c>
      <c r="H77" s="88"/>
    </row>
    <row r="78" spans="2:12" x14ac:dyDescent="0.3">
      <c r="B78" s="55" t="s">
        <v>138</v>
      </c>
      <c r="C78" s="56">
        <f>ROUND(현자산!G$19*0.92,-3)</f>
        <v>206465000</v>
      </c>
      <c r="D78" s="1">
        <f>현자산!F$19</f>
        <v>274630000</v>
      </c>
      <c r="E78" s="50" t="s">
        <v>140</v>
      </c>
      <c r="F78" s="127" t="s">
        <v>270</v>
      </c>
      <c r="G78" s="128">
        <f>-500000-ROUND(1400000/12,-4)-(20000+30000)</f>
        <v>-670000</v>
      </c>
      <c r="H78" s="20" t="s">
        <v>374</v>
      </c>
      <c r="I78" s="134"/>
      <c r="J78" s="47"/>
      <c r="L78" s="255"/>
    </row>
    <row r="79" spans="2:12" ht="17.25" thickBot="1" x14ac:dyDescent="0.35">
      <c r="B79" s="55" t="s">
        <v>264</v>
      </c>
      <c r="C79" s="56">
        <f>ROUND((700000000-'보증잔액 Table'!J8),-3)+C$85</f>
        <v>696597000</v>
      </c>
      <c r="D79" s="2">
        <f>SUM(C77,D78,C79)</f>
        <v>993933080</v>
      </c>
      <c r="E79" s="2" t="s">
        <v>532</v>
      </c>
      <c r="F79" s="135" t="s">
        <v>120</v>
      </c>
      <c r="G79" s="142">
        <v>-150000</v>
      </c>
      <c r="H79" s="116" t="s">
        <v>106</v>
      </c>
      <c r="I79" s="17"/>
    </row>
    <row r="80" spans="2:12" ht="17.25" thickBot="1" x14ac:dyDescent="0.35">
      <c r="B80" s="250" t="s">
        <v>139</v>
      </c>
      <c r="C80" s="172">
        <f>SUM(C77:C79)</f>
        <v>925768080</v>
      </c>
      <c r="D80" s="253" t="s">
        <v>269</v>
      </c>
      <c r="F80" s="74" t="s">
        <v>275</v>
      </c>
      <c r="G80" s="75">
        <v>-55000</v>
      </c>
      <c r="H80" s="116" t="s">
        <v>107</v>
      </c>
      <c r="I80" s="17"/>
    </row>
    <row r="81" spans="1:9" ht="17.25" thickBot="1" x14ac:dyDescent="0.35">
      <c r="B81" s="213" t="s">
        <v>202</v>
      </c>
      <c r="C81" s="214">
        <f>ROUND(1500000*(12+24+24)+C80,-3)</f>
        <v>1015768000</v>
      </c>
      <c r="F81" s="146" t="s">
        <v>113</v>
      </c>
      <c r="G81" s="147">
        <f>-600000*4/12</f>
        <v>-200000</v>
      </c>
      <c r="H81" s="20" t="s">
        <v>257</v>
      </c>
      <c r="I81" s="17"/>
    </row>
    <row r="82" spans="1:9" x14ac:dyDescent="0.3">
      <c r="I82" s="17"/>
    </row>
    <row r="83" spans="1:9" x14ac:dyDescent="0.25">
      <c r="B83" s="125" t="s">
        <v>231</v>
      </c>
      <c r="C83" s="89"/>
      <c r="E83" s="89"/>
      <c r="F83" s="89"/>
      <c r="G83" s="160" t="s">
        <v>109</v>
      </c>
      <c r="H83" s="69" t="s">
        <v>224</v>
      </c>
    </row>
    <row r="84" spans="1:9" ht="17.25" thickBot="1" x14ac:dyDescent="0.35">
      <c r="B84" s="90" t="s">
        <v>75</v>
      </c>
      <c r="C84" s="11" t="s">
        <v>76</v>
      </c>
      <c r="D84" s="90" t="s">
        <v>77</v>
      </c>
      <c r="E84" s="11" t="s">
        <v>78</v>
      </c>
      <c r="F84" s="11" t="s">
        <v>141</v>
      </c>
      <c r="G84" s="91" t="s">
        <v>79</v>
      </c>
      <c r="H84" s="69" t="s">
        <v>108</v>
      </c>
    </row>
    <row r="85" spans="1:9" ht="17.25" thickBot="1" x14ac:dyDescent="0.35">
      <c r="B85" s="92"/>
      <c r="C85" s="254">
        <f>D85+SUM(E85:G85)</f>
        <v>159630000</v>
      </c>
      <c r="D85" s="346">
        <f>300000000+50000000</f>
        <v>350000000</v>
      </c>
      <c r="E85" s="345">
        <f>-(115640000+C42+C58+C74)-E86</f>
        <v>-86010000</v>
      </c>
      <c r="F85" s="10">
        <f>-30000000-50000000-40000000</f>
        <v>-120000000</v>
      </c>
      <c r="G85" s="94">
        <f>ROUND(100000*12*10*1.1,-6)+ROUND(20000*12*10*1.1,-3)</f>
        <v>15640000</v>
      </c>
      <c r="H85" s="69" t="s">
        <v>219</v>
      </c>
    </row>
    <row r="86" spans="1:9" x14ac:dyDescent="0.3">
      <c r="A86" s="13"/>
      <c r="B86" s="13"/>
      <c r="C86" s="13"/>
      <c r="D86" s="143" t="s">
        <v>103</v>
      </c>
      <c r="E86" s="138">
        <f>SUM(C24,C41,C43,C57,C59,C73,C75)</f>
        <v>9370000</v>
      </c>
      <c r="F86" s="342" t="s">
        <v>439</v>
      </c>
      <c r="G86" s="96"/>
      <c r="H86" s="344" t="s">
        <v>440</v>
      </c>
    </row>
    <row r="87" spans="1:9" x14ac:dyDescent="0.3">
      <c r="A87" s="13"/>
      <c r="B87" s="13"/>
      <c r="C87" s="13"/>
      <c r="D87" s="143"/>
      <c r="E87" s="138"/>
      <c r="F87" s="174"/>
      <c r="G87" s="96"/>
    </row>
    <row r="88" spans="1:9" x14ac:dyDescent="0.3">
      <c r="B88" s="123" t="s">
        <v>232</v>
      </c>
      <c r="C88" s="124"/>
      <c r="G88" s="46" t="s">
        <v>74</v>
      </c>
    </row>
    <row r="89" spans="1:9" x14ac:dyDescent="0.3">
      <c r="B89" s="90" t="s">
        <v>80</v>
      </c>
      <c r="C89" s="11" t="s">
        <v>81</v>
      </c>
      <c r="D89" s="11"/>
      <c r="E89" s="11" t="s">
        <v>82</v>
      </c>
      <c r="F89" s="11"/>
      <c r="G89" s="11" t="s">
        <v>83</v>
      </c>
    </row>
    <row r="90" spans="1:9" x14ac:dyDescent="0.3">
      <c r="B90" s="92"/>
      <c r="C90" s="97">
        <f>C77+C85+E90</f>
        <v>182336080</v>
      </c>
      <c r="D90" s="98"/>
      <c r="E90" s="98">
        <v>0</v>
      </c>
      <c r="F90" s="10"/>
      <c r="G90" s="10">
        <v>0</v>
      </c>
    </row>
    <row r="91" spans="1:9" x14ac:dyDescent="0.3">
      <c r="A91" s="13"/>
      <c r="B91" s="99"/>
      <c r="C91" s="99"/>
      <c r="D91" s="99"/>
      <c r="E91" s="99"/>
      <c r="F91" s="100"/>
      <c r="G91" s="101"/>
    </row>
    <row r="92" spans="1:9" x14ac:dyDescent="0.3">
      <c r="A92" s="13"/>
      <c r="B92" s="13"/>
      <c r="C92" s="13"/>
      <c r="D92" s="13"/>
      <c r="E92" s="13"/>
      <c r="F92" s="95"/>
      <c r="G92" s="96"/>
    </row>
    <row r="93" spans="1:9" x14ac:dyDescent="0.3">
      <c r="B93" s="47" t="s">
        <v>233</v>
      </c>
      <c r="E93" s="231" t="s">
        <v>269</v>
      </c>
      <c r="F93" s="231">
        <f>ROUND(C96+C78+(700000000-'보증잔액 Table'!J8),-6)</f>
        <v>926000000</v>
      </c>
      <c r="G93" s="231">
        <f>ROUND(C101+C102+(700000000-'보증잔액 Table'!J13),-6)</f>
        <v>872000000</v>
      </c>
      <c r="H93" s="145" t="s">
        <v>221</v>
      </c>
    </row>
    <row r="94" spans="1:9" x14ac:dyDescent="0.3">
      <c r="B94" s="9" t="s">
        <v>34</v>
      </c>
      <c r="C94" s="10" t="s">
        <v>35</v>
      </c>
      <c r="D94" s="452" t="s">
        <v>36</v>
      </c>
      <c r="E94" s="453"/>
      <c r="F94" s="454" t="s">
        <v>37</v>
      </c>
      <c r="G94" s="446"/>
      <c r="H94" s="69" t="s">
        <v>117</v>
      </c>
    </row>
    <row r="95" spans="1:9" x14ac:dyDescent="0.3">
      <c r="B95" s="9"/>
      <c r="C95" s="130">
        <f>C69-0</f>
        <v>1000000</v>
      </c>
      <c r="D95" s="452">
        <f>SUM(E96:E101)</f>
        <v>3416900</v>
      </c>
      <c r="E95" s="453"/>
      <c r="F95" s="454">
        <f>SUM(G96:G104)</f>
        <v>-2416900</v>
      </c>
      <c r="G95" s="446"/>
      <c r="H95" s="69" t="s">
        <v>220</v>
      </c>
    </row>
    <row r="96" spans="1:9" ht="17.25" thickBot="1" x14ac:dyDescent="0.35">
      <c r="B96" s="55" t="s">
        <v>53</v>
      </c>
      <c r="C96" s="56">
        <f>C90</f>
        <v>182336080</v>
      </c>
      <c r="D96" s="17" t="s">
        <v>39</v>
      </c>
      <c r="E96" s="1">
        <f>ROUND(E70*1.05,-4)</f>
        <v>1880000</v>
      </c>
      <c r="F96" s="156" t="s">
        <v>130</v>
      </c>
      <c r="G96" s="54">
        <v>-650000</v>
      </c>
      <c r="H96" s="275" t="s">
        <v>296</v>
      </c>
      <c r="I96" s="17"/>
    </row>
    <row r="97" spans="2:15" ht="17.25" thickBot="1" x14ac:dyDescent="0.35">
      <c r="B97" s="157" t="s">
        <v>218</v>
      </c>
      <c r="C97" s="158">
        <v>-30000000</v>
      </c>
      <c r="D97" s="58" t="s">
        <v>71</v>
      </c>
      <c r="E97" s="59">
        <f>D33</f>
        <v>1540000</v>
      </c>
      <c r="F97" s="58" t="s">
        <v>42</v>
      </c>
      <c r="G97" s="59">
        <v>-50000</v>
      </c>
      <c r="I97" s="17"/>
      <c r="L97" s="13" t="s">
        <v>310</v>
      </c>
    </row>
    <row r="98" spans="2:15" x14ac:dyDescent="0.3">
      <c r="B98" s="58" t="s">
        <v>73</v>
      </c>
      <c r="C98" s="59">
        <f>-E101*60</f>
        <v>52641789.473684169</v>
      </c>
      <c r="D98" s="60" t="s">
        <v>54</v>
      </c>
      <c r="E98" s="71">
        <f>(E72-(12000*2))/0.95*1.025+(12000*2)</f>
        <v>574263.15789473674</v>
      </c>
      <c r="F98" s="58" t="s">
        <v>98</v>
      </c>
      <c r="G98" s="59">
        <f>-70000-(97000-38000)+29000</f>
        <v>-100000</v>
      </c>
      <c r="H98" s="69" t="s">
        <v>240</v>
      </c>
      <c r="I98" s="17"/>
      <c r="L98" s="276" t="s">
        <v>301</v>
      </c>
      <c r="M98" s="276" t="s">
        <v>302</v>
      </c>
      <c r="N98" s="276" t="s">
        <v>303</v>
      </c>
      <c r="O98" s="278" t="s">
        <v>305</v>
      </c>
    </row>
    <row r="99" spans="2:15" x14ac:dyDescent="0.3">
      <c r="B99" s="55" t="s">
        <v>66</v>
      </c>
      <c r="C99" s="56">
        <f>C96+C97+C98</f>
        <v>204977869.47368416</v>
      </c>
      <c r="D99" s="120" t="s">
        <v>101</v>
      </c>
      <c r="E99" s="87"/>
      <c r="F99" s="58" t="s">
        <v>46</v>
      </c>
      <c r="G99" s="59">
        <f>-165000-109000-30000-19900</f>
        <v>-323900</v>
      </c>
      <c r="H99" s="103" t="s">
        <v>345</v>
      </c>
      <c r="I99" s="17"/>
      <c r="L99" s="277">
        <f>2200000*12*5+1540000*12*0</f>
        <v>132000000</v>
      </c>
      <c r="M99" s="277">
        <f>-L99*0.04/12</f>
        <v>-440000</v>
      </c>
      <c r="N99" s="277">
        <f>(C96-20000000)*0.04/12</f>
        <v>541120.26666666672</v>
      </c>
      <c r="O99" s="14">
        <f>SUM(M99:N99)</f>
        <v>101120.26666666672</v>
      </c>
    </row>
    <row r="100" spans="2:15" ht="17.25" thickBot="1" x14ac:dyDescent="0.35">
      <c r="B100" s="422" t="s">
        <v>84</v>
      </c>
      <c r="C100" s="421">
        <f>ROUND((AVERAGE(C96,C99)-20000000)*(1+0.02)^5-(AVERAGE(C96,C99)-20000000),-4)*1</f>
        <v>18070000</v>
      </c>
      <c r="D100" s="129" t="s">
        <v>92</v>
      </c>
      <c r="E100" s="76">
        <v>300000</v>
      </c>
      <c r="F100" s="55" t="s">
        <v>112</v>
      </c>
      <c r="G100" s="47">
        <f>-ROUND(1000000/12,-3)-ROUND(1200000/12,-3)-ROUND(600000/12,-3)</f>
        <v>-233000</v>
      </c>
      <c r="H100" s="235" t="s">
        <v>268</v>
      </c>
      <c r="I100" s="17"/>
      <c r="L100" s="115" t="s">
        <v>309</v>
      </c>
    </row>
    <row r="101" spans="2:15" ht="17.25" thickBot="1" x14ac:dyDescent="0.35">
      <c r="B101" s="260" t="s">
        <v>276</v>
      </c>
      <c r="C101" s="261">
        <f>C100+C99</f>
        <v>223047869.47368416</v>
      </c>
      <c r="D101" s="80" t="s">
        <v>59</v>
      </c>
      <c r="E101" s="81">
        <f>(-F95+C95-SUM(E96:E100))</f>
        <v>-877363.15789473616</v>
      </c>
      <c r="F101" s="229" t="s">
        <v>47</v>
      </c>
      <c r="G101" s="230">
        <f>ROUND(-200000-450000/12,-4)</f>
        <v>-240000</v>
      </c>
      <c r="H101" s="50" t="s">
        <v>273</v>
      </c>
      <c r="I101" s="17"/>
      <c r="L101" s="115" t="s">
        <v>312</v>
      </c>
    </row>
    <row r="102" spans="2:15" x14ac:dyDescent="0.2">
      <c r="B102" s="55" t="s">
        <v>533</v>
      </c>
      <c r="C102" s="56">
        <f>ROUND(현자산!F$19*1,-3)</f>
        <v>274630000</v>
      </c>
      <c r="D102" s="341" t="s">
        <v>432</v>
      </c>
      <c r="F102" s="127" t="s">
        <v>270</v>
      </c>
      <c r="G102" s="128">
        <f>-300000-ROUND(1400000/12,-4)-(20000+30000)</f>
        <v>-470000</v>
      </c>
      <c r="H102" s="20" t="s">
        <v>375</v>
      </c>
      <c r="I102" s="17"/>
      <c r="L102" s="279" t="s">
        <v>314</v>
      </c>
    </row>
    <row r="103" spans="2:15" ht="17.25" thickBot="1" x14ac:dyDescent="0.35">
      <c r="B103" s="55" t="s">
        <v>315</v>
      </c>
      <c r="C103" s="56">
        <f>ROUND((700000000-'보증잔액 Table'!J13),-3)</f>
        <v>374088000</v>
      </c>
      <c r="D103" s="361" t="s">
        <v>485</v>
      </c>
      <c r="F103" s="17" t="s">
        <v>50</v>
      </c>
      <c r="G103" s="1">
        <v>-150000</v>
      </c>
      <c r="I103" s="17"/>
      <c r="L103" s="115" t="s">
        <v>313</v>
      </c>
    </row>
    <row r="104" spans="2:15" ht="17.25" thickBot="1" x14ac:dyDescent="0.35">
      <c r="B104" s="250" t="s">
        <v>139</v>
      </c>
      <c r="C104" s="172">
        <f>SUM(C101:C103)</f>
        <v>871765869.47368419</v>
      </c>
      <c r="D104" s="116" t="s">
        <v>445</v>
      </c>
      <c r="F104" s="146" t="s">
        <v>113</v>
      </c>
      <c r="G104" s="147">
        <f>-600000*4/12</f>
        <v>-200000</v>
      </c>
      <c r="H104" s="20" t="s">
        <v>257</v>
      </c>
      <c r="I104" s="17"/>
      <c r="L104" s="115" t="s">
        <v>447</v>
      </c>
    </row>
    <row r="105" spans="2:15" x14ac:dyDescent="0.3">
      <c r="B105" s="213" t="s">
        <v>202</v>
      </c>
      <c r="C105" s="214">
        <f>ROUND(1500000*(12+24+24+60)+C104,-3)</f>
        <v>1051766000</v>
      </c>
      <c r="D105" s="116" t="s">
        <v>446</v>
      </c>
      <c r="I105" s="17"/>
    </row>
    <row r="106" spans="2:15" x14ac:dyDescent="0.3">
      <c r="I106" s="17"/>
    </row>
    <row r="107" spans="2:15" x14ac:dyDescent="0.3">
      <c r="B107" s="47" t="s">
        <v>234</v>
      </c>
      <c r="E107" s="231" t="s">
        <v>269</v>
      </c>
      <c r="F107" s="231">
        <f>G93</f>
        <v>872000000</v>
      </c>
      <c r="G107" s="232">
        <f>ROUND(C115+C116+(700000000-'보증잔액 Table'!J18),-6)</f>
        <v>781000000</v>
      </c>
      <c r="H107" s="145" t="s">
        <v>221</v>
      </c>
    </row>
    <row r="108" spans="2:15" x14ac:dyDescent="0.3">
      <c r="B108" s="9" t="s">
        <v>34</v>
      </c>
      <c r="C108" s="10" t="s">
        <v>35</v>
      </c>
      <c r="D108" s="452" t="s">
        <v>36</v>
      </c>
      <c r="E108" s="453"/>
      <c r="F108" s="454" t="s">
        <v>37</v>
      </c>
      <c r="G108" s="446"/>
      <c r="H108" s="69" t="s">
        <v>117</v>
      </c>
    </row>
    <row r="109" spans="2:15" x14ac:dyDescent="0.3">
      <c r="B109" s="9"/>
      <c r="C109" s="130">
        <f>C95-300000</f>
        <v>700000</v>
      </c>
      <c r="D109" s="452">
        <f>SUM(E110:E115)</f>
        <v>2714600</v>
      </c>
      <c r="E109" s="453"/>
      <c r="F109" s="454">
        <f>SUM(G110:G118)</f>
        <v>-2014600</v>
      </c>
      <c r="G109" s="446"/>
      <c r="H109" s="69" t="s">
        <v>220</v>
      </c>
    </row>
    <row r="110" spans="2:15" ht="17.25" thickBot="1" x14ac:dyDescent="0.35">
      <c r="B110" s="55" t="s">
        <v>53</v>
      </c>
      <c r="C110" s="56">
        <f>C101</f>
        <v>223047869.47368416</v>
      </c>
      <c r="D110" s="17" t="s">
        <v>39</v>
      </c>
      <c r="E110" s="1">
        <f>ROUND(E96*1.05,-4)</f>
        <v>1970000</v>
      </c>
      <c r="F110" s="156" t="s">
        <v>130</v>
      </c>
      <c r="G110" s="54">
        <v>-650000</v>
      </c>
      <c r="H110" s="275" t="s">
        <v>296</v>
      </c>
    </row>
    <row r="111" spans="2:15" ht="17.25" thickBot="1" x14ac:dyDescent="0.35">
      <c r="B111" s="170" t="s">
        <v>121</v>
      </c>
      <c r="C111" s="171"/>
      <c r="D111" s="58" t="s">
        <v>71</v>
      </c>
      <c r="E111" s="59">
        <f>D33</f>
        <v>1540000</v>
      </c>
      <c r="F111" s="58" t="s">
        <v>42</v>
      </c>
      <c r="G111" s="59">
        <v>-50000</v>
      </c>
      <c r="L111" s="13" t="s">
        <v>304</v>
      </c>
    </row>
    <row r="112" spans="2:15" x14ac:dyDescent="0.3">
      <c r="B112" s="58" t="s">
        <v>73</v>
      </c>
      <c r="C112" s="59">
        <f>-E115*60</f>
        <v>101005184.21052632</v>
      </c>
      <c r="D112" s="60" t="s">
        <v>54</v>
      </c>
      <c r="E112" s="71">
        <f>(E98-(12000*2))*1.025+(12000*2)</f>
        <v>588019.73684210517</v>
      </c>
      <c r="F112" s="58" t="s">
        <v>98</v>
      </c>
      <c r="G112" s="59">
        <f>-70000-(97000-38000)+29000</f>
        <v>-100000</v>
      </c>
      <c r="H112" s="69" t="s">
        <v>240</v>
      </c>
      <c r="L112" s="276" t="s">
        <v>301</v>
      </c>
      <c r="M112" s="276" t="s">
        <v>302</v>
      </c>
      <c r="N112" s="276" t="s">
        <v>303</v>
      </c>
      <c r="O112" s="278" t="s">
        <v>305</v>
      </c>
    </row>
    <row r="113" spans="2:15" x14ac:dyDescent="0.3">
      <c r="B113" s="55" t="s">
        <v>66</v>
      </c>
      <c r="C113" s="56">
        <f>C110+C111+C112</f>
        <v>324053053.68421048</v>
      </c>
      <c r="D113" s="120" t="s">
        <v>101</v>
      </c>
      <c r="E113" s="87"/>
      <c r="F113" s="58" t="s">
        <v>46</v>
      </c>
      <c r="G113" s="59">
        <f>-165000-109000-20600</f>
        <v>-294600</v>
      </c>
      <c r="H113" s="275" t="s">
        <v>346</v>
      </c>
      <c r="L113" s="277">
        <f>2200000*12*5+1540000*12*5</f>
        <v>224400000</v>
      </c>
      <c r="M113" s="277">
        <f>-L113*0.04/12</f>
        <v>-748000</v>
      </c>
      <c r="N113" s="277">
        <f>(C110-20000000)*0.04/12</f>
        <v>676826.23157894716</v>
      </c>
      <c r="O113" s="14">
        <f>SUM(M113:N113)</f>
        <v>-71173.768421052839</v>
      </c>
    </row>
    <row r="114" spans="2:15" ht="17.25" thickBot="1" x14ac:dyDescent="0.35">
      <c r="B114" s="422" t="s">
        <v>84</v>
      </c>
      <c r="C114" s="421">
        <f>ROUND((AVERAGE(C110,C113)-20000000)*(1+0.02)^5-(AVERAGE(C110,C113)-20000000),-4)*1</f>
        <v>26390000</v>
      </c>
      <c r="D114" s="129" t="s">
        <v>92</v>
      </c>
      <c r="E114" s="76">
        <v>300000</v>
      </c>
      <c r="F114" s="17" t="s">
        <v>112</v>
      </c>
      <c r="H114" s="20" t="s">
        <v>341</v>
      </c>
      <c r="L114" s="115" t="s">
        <v>309</v>
      </c>
    </row>
    <row r="115" spans="2:15" ht="17.25" thickBot="1" x14ac:dyDescent="0.35">
      <c r="B115" s="260" t="s">
        <v>276</v>
      </c>
      <c r="C115" s="261">
        <f>C114+C113</f>
        <v>350443053.68421048</v>
      </c>
      <c r="D115" s="80" t="s">
        <v>59</v>
      </c>
      <c r="E115" s="81">
        <f>(-F109+C109-SUM(E110:E114))</f>
        <v>-1683419.7368421052</v>
      </c>
      <c r="F115" s="229" t="s">
        <v>47</v>
      </c>
      <c r="G115" s="230">
        <f>-210000-40000</f>
        <v>-250000</v>
      </c>
      <c r="H115" s="50" t="s">
        <v>198</v>
      </c>
      <c r="L115" s="115" t="s">
        <v>311</v>
      </c>
    </row>
    <row r="116" spans="2:15" x14ac:dyDescent="0.3">
      <c r="B116" s="55" t="s">
        <v>533</v>
      </c>
      <c r="C116" s="56">
        <f>현자산!F19</f>
        <v>274630000</v>
      </c>
      <c r="F116" s="127" t="s">
        <v>270</v>
      </c>
      <c r="G116" s="128">
        <f>-150000-ROUND(1400000/12,-4)-(20000+30000)</f>
        <v>-320000</v>
      </c>
      <c r="H116" s="20" t="s">
        <v>376</v>
      </c>
      <c r="L116" s="115" t="s">
        <v>313</v>
      </c>
    </row>
    <row r="117" spans="2:15" ht="17.25" thickBot="1" x14ac:dyDescent="0.35">
      <c r="B117" s="55" t="s">
        <v>315</v>
      </c>
      <c r="C117" s="56">
        <f>ROUND((700000000-'보증잔액 Table'!J18),-3)</f>
        <v>156090000</v>
      </c>
      <c r="D117" s="20" t="s">
        <v>278</v>
      </c>
      <c r="F117" s="17" t="s">
        <v>50</v>
      </c>
      <c r="G117" s="1">
        <v>-150000</v>
      </c>
      <c r="L117" s="115" t="s">
        <v>447</v>
      </c>
    </row>
    <row r="118" spans="2:15" ht="17.25" thickBot="1" x14ac:dyDescent="0.35">
      <c r="B118" s="173" t="s">
        <v>139</v>
      </c>
      <c r="C118" s="172">
        <f>SUM(C115:C117)</f>
        <v>781163053.68421054</v>
      </c>
      <c r="D118" s="116" t="s">
        <v>445</v>
      </c>
      <c r="F118" s="146" t="s">
        <v>113</v>
      </c>
      <c r="G118" s="147">
        <f>-600000*4/12</f>
        <v>-200000</v>
      </c>
      <c r="H118" s="20" t="s">
        <v>257</v>
      </c>
    </row>
    <row r="119" spans="2:15" x14ac:dyDescent="0.3">
      <c r="B119" s="213" t="s">
        <v>202</v>
      </c>
      <c r="C119" s="214">
        <f>ROUND(1500000*(12+24+24+60+60)+C118,-3)</f>
        <v>1051163000</v>
      </c>
      <c r="D119" s="116" t="s">
        <v>446</v>
      </c>
    </row>
    <row r="121" spans="2:15" x14ac:dyDescent="0.3">
      <c r="B121" s="47" t="s">
        <v>235</v>
      </c>
      <c r="E121" s="231" t="s">
        <v>269</v>
      </c>
      <c r="F121" s="231">
        <f>G107</f>
        <v>781000000</v>
      </c>
      <c r="G121" s="232">
        <f>ROUND(C128+C129+(700000000-'보증잔액 Table'!J23),-6)</f>
        <v>655000000</v>
      </c>
      <c r="H121" s="233" t="s">
        <v>217</v>
      </c>
      <c r="I121" s="234"/>
    </row>
    <row r="122" spans="2:15" x14ac:dyDescent="0.3">
      <c r="B122" s="9" t="s">
        <v>34</v>
      </c>
      <c r="C122" s="10" t="s">
        <v>35</v>
      </c>
      <c r="D122" s="452" t="s">
        <v>36</v>
      </c>
      <c r="E122" s="453"/>
      <c r="F122" s="454" t="s">
        <v>37</v>
      </c>
      <c r="G122" s="446"/>
      <c r="H122" s="145" t="s">
        <v>212</v>
      </c>
    </row>
    <row r="123" spans="2:15" x14ac:dyDescent="0.3">
      <c r="B123" s="9"/>
      <c r="C123" s="130">
        <f>C109-0</f>
        <v>700000</v>
      </c>
      <c r="D123" s="452">
        <f>SUM(E124:E129)</f>
        <v>2224600</v>
      </c>
      <c r="E123" s="453"/>
      <c r="F123" s="454">
        <f>SUM(G124:G130)</f>
        <v>-1524600</v>
      </c>
      <c r="G123" s="446"/>
      <c r="H123" s="69" t="s">
        <v>474</v>
      </c>
    </row>
    <row r="124" spans="2:15" x14ac:dyDescent="0.3">
      <c r="B124" s="55" t="s">
        <v>53</v>
      </c>
      <c r="C124" s="56">
        <f>C115</f>
        <v>350443053.68421048</v>
      </c>
      <c r="D124" s="17" t="s">
        <v>39</v>
      </c>
      <c r="E124" s="1">
        <f>ROUND(E110*1.05,-4)</f>
        <v>2070000</v>
      </c>
      <c r="F124" s="156" t="s">
        <v>130</v>
      </c>
      <c r="G124" s="54">
        <v>-450000</v>
      </c>
      <c r="H124" s="69" t="s">
        <v>225</v>
      </c>
    </row>
    <row r="125" spans="2:15" x14ac:dyDescent="0.3">
      <c r="B125" s="58" t="s">
        <v>73</v>
      </c>
      <c r="C125" s="59">
        <f>-E129*60</f>
        <v>119251213.81578946</v>
      </c>
      <c r="D125" s="58" t="s">
        <v>71</v>
      </c>
      <c r="E125" s="59">
        <f>D33</f>
        <v>1540000</v>
      </c>
      <c r="F125" s="58" t="s">
        <v>42</v>
      </c>
      <c r="G125" s="59">
        <v>-50000</v>
      </c>
      <c r="H125" s="20" t="s">
        <v>117</v>
      </c>
      <c r="L125" s="13" t="s">
        <v>306</v>
      </c>
    </row>
    <row r="126" spans="2:15" x14ac:dyDescent="0.3">
      <c r="B126" s="55" t="s">
        <v>66</v>
      </c>
      <c r="C126" s="56">
        <f>C124+C125</f>
        <v>469694267.49999994</v>
      </c>
      <c r="D126" s="60" t="s">
        <v>54</v>
      </c>
      <c r="E126" s="71">
        <f>(E112-(12000*2))*1.025+(12000*2)</f>
        <v>602120.23026315775</v>
      </c>
      <c r="F126" s="58" t="s">
        <v>98</v>
      </c>
      <c r="G126" s="59">
        <f>-70000-(97000-38000)+29000</f>
        <v>-100000</v>
      </c>
      <c r="H126" s="69" t="s">
        <v>240</v>
      </c>
      <c r="L126" s="276" t="s">
        <v>301</v>
      </c>
      <c r="M126" s="276" t="s">
        <v>302</v>
      </c>
      <c r="N126" s="276" t="s">
        <v>303</v>
      </c>
      <c r="O126" s="278" t="s">
        <v>305</v>
      </c>
    </row>
    <row r="127" spans="2:15" ht="17.25" thickBot="1" x14ac:dyDescent="0.35">
      <c r="B127" s="422" t="s">
        <v>84</v>
      </c>
      <c r="C127" s="421">
        <f>ROUND((AVERAGE(C124,C126)-20000000)*(1+0.02)^5-(AVERAGE(C124,C126)-20000000),-4)*1</f>
        <v>40600000</v>
      </c>
      <c r="D127" s="120" t="s">
        <v>101</v>
      </c>
      <c r="E127" s="87"/>
      <c r="F127" s="58" t="s">
        <v>46</v>
      </c>
      <c r="G127" s="59">
        <f>-165000-109000-20600</f>
        <v>-294600</v>
      </c>
      <c r="H127" s="275" t="s">
        <v>346</v>
      </c>
      <c r="L127" s="277">
        <f>2200000*12*5+1540000*12*10</f>
        <v>316800000</v>
      </c>
      <c r="M127" s="277">
        <f>-L127*0.04/12</f>
        <v>-1056000</v>
      </c>
      <c r="N127" s="277">
        <f>(C124-20000000)*0.04/12</f>
        <v>1101476.8456140349</v>
      </c>
      <c r="O127" s="14">
        <f>SUM(M127:N127)</f>
        <v>45476.845614034915</v>
      </c>
    </row>
    <row r="128" spans="2:15" ht="17.25" thickBot="1" x14ac:dyDescent="0.35">
      <c r="B128" s="260" t="s">
        <v>276</v>
      </c>
      <c r="C128" s="261">
        <f>C127+C126</f>
        <v>510294267.49999994</v>
      </c>
      <c r="D128" s="129" t="s">
        <v>92</v>
      </c>
      <c r="E128" s="121"/>
      <c r="F128" s="228" t="s">
        <v>47</v>
      </c>
      <c r="G128" s="230">
        <f>ROUND(-200000-450000/12,-4)</f>
        <v>-240000</v>
      </c>
      <c r="H128" s="50" t="s">
        <v>273</v>
      </c>
      <c r="L128" s="115" t="s">
        <v>309</v>
      </c>
    </row>
    <row r="129" spans="1:15" ht="17.25" thickBot="1" x14ac:dyDescent="0.35">
      <c r="B129" s="55" t="s">
        <v>138</v>
      </c>
      <c r="C129" s="56">
        <f>ROUND(현자산!F19*1.02,-5)</f>
        <v>280100000</v>
      </c>
      <c r="D129" s="80" t="s">
        <v>59</v>
      </c>
      <c r="E129" s="81">
        <f>(-F123+C123-SUM(E124:E128))</f>
        <v>-1987520.2302631577</v>
      </c>
      <c r="F129" s="127" t="s">
        <v>270</v>
      </c>
      <c r="G129" s="128">
        <f>-150000-ROUND(1400000/12,-4)</f>
        <v>-270000</v>
      </c>
      <c r="H129" s="20" t="s">
        <v>271</v>
      </c>
      <c r="L129" s="115" t="s">
        <v>311</v>
      </c>
    </row>
    <row r="130" spans="1:15" ht="17.25" thickBot="1" x14ac:dyDescent="0.35">
      <c r="B130" s="55" t="s">
        <v>315</v>
      </c>
      <c r="C130" s="56">
        <f>IF(ROUND((700000000-'보증잔액 Table'!J23),-3)&lt;0,0,ROUND((700000000-'보증잔액 Table'!J23),-3))</f>
        <v>0</v>
      </c>
      <c r="D130" s="20" t="s">
        <v>278</v>
      </c>
      <c r="F130" s="17" t="s">
        <v>50</v>
      </c>
      <c r="G130" s="1">
        <v>-120000</v>
      </c>
      <c r="H130" s="20" t="s">
        <v>257</v>
      </c>
      <c r="L130" s="115" t="s">
        <v>313</v>
      </c>
    </row>
    <row r="131" spans="1:15" ht="17.25" thickBot="1" x14ac:dyDescent="0.35">
      <c r="A131" s="20"/>
      <c r="B131" s="173" t="s">
        <v>139</v>
      </c>
      <c r="C131" s="172">
        <f>SUM(C128:C130)</f>
        <v>790394267.5</v>
      </c>
      <c r="D131" s="116" t="s">
        <v>445</v>
      </c>
      <c r="F131" s="17"/>
      <c r="L131" s="115" t="s">
        <v>447</v>
      </c>
    </row>
    <row r="132" spans="1:15" x14ac:dyDescent="0.3">
      <c r="A132" s="20"/>
      <c r="B132" s="213" t="s">
        <v>202</v>
      </c>
      <c r="C132" s="214">
        <f>ROUND(1500000*(12+24+24+60+60)+C131,-3)</f>
        <v>1060394000</v>
      </c>
      <c r="D132" s="116" t="s">
        <v>446</v>
      </c>
      <c r="F132" s="17"/>
    </row>
    <row r="133" spans="1:15" x14ac:dyDescent="0.3">
      <c r="B133" s="69"/>
      <c r="C133" s="69"/>
      <c r="D133" s="69"/>
      <c r="F133" s="17"/>
    </row>
    <row r="134" spans="1:15" x14ac:dyDescent="0.3">
      <c r="B134" s="47" t="s">
        <v>236</v>
      </c>
      <c r="E134" s="231" t="s">
        <v>269</v>
      </c>
      <c r="F134" s="231">
        <f>G121</f>
        <v>655000000</v>
      </c>
      <c r="G134" s="232">
        <f>ROUND(C141+C142+(700000000-'보증잔액 Table'!J28),-6)</f>
        <v>456000000</v>
      </c>
      <c r="H134" s="233" t="s">
        <v>217</v>
      </c>
      <c r="I134" s="234"/>
    </row>
    <row r="135" spans="1:15" x14ac:dyDescent="0.3">
      <c r="B135" s="9" t="s">
        <v>34</v>
      </c>
      <c r="C135" s="10" t="s">
        <v>35</v>
      </c>
      <c r="D135" s="452" t="s">
        <v>36</v>
      </c>
      <c r="E135" s="453"/>
      <c r="F135" s="454" t="s">
        <v>37</v>
      </c>
      <c r="G135" s="446"/>
      <c r="H135" s="145" t="s">
        <v>142</v>
      </c>
    </row>
    <row r="136" spans="1:15" x14ac:dyDescent="0.3">
      <c r="B136" s="9"/>
      <c r="C136" s="130">
        <f>C123</f>
        <v>700000</v>
      </c>
      <c r="D136" s="452">
        <f>SUM(E137:E142)</f>
        <v>2224600</v>
      </c>
      <c r="E136" s="453"/>
      <c r="F136" s="454">
        <f>SUM(G137:G143)</f>
        <v>-1524600</v>
      </c>
      <c r="G136" s="446"/>
      <c r="H136" s="20" t="s">
        <v>143</v>
      </c>
    </row>
    <row r="137" spans="1:15" x14ac:dyDescent="0.3">
      <c r="B137" s="55" t="s">
        <v>53</v>
      </c>
      <c r="C137" s="56">
        <f>C128</f>
        <v>510294267.49999994</v>
      </c>
      <c r="D137" s="17" t="s">
        <v>39</v>
      </c>
      <c r="E137" s="1">
        <f>ROUND(E124*1.05,-4)</f>
        <v>2170000</v>
      </c>
      <c r="F137" s="156" t="s">
        <v>130</v>
      </c>
      <c r="G137" s="54">
        <v>-450000</v>
      </c>
      <c r="H137" s="69" t="s">
        <v>225</v>
      </c>
    </row>
    <row r="138" spans="1:15" x14ac:dyDescent="0.3">
      <c r="B138" s="58" t="s">
        <v>73</v>
      </c>
      <c r="C138" s="59">
        <f>-E142*60</f>
        <v>126118394.16118416</v>
      </c>
      <c r="D138" s="58" t="s">
        <v>71</v>
      </c>
      <c r="E138" s="59">
        <f>D33</f>
        <v>1540000</v>
      </c>
      <c r="F138" s="58" t="s">
        <v>42</v>
      </c>
      <c r="G138" s="59">
        <v>-50000</v>
      </c>
      <c r="H138" s="20" t="s">
        <v>117</v>
      </c>
      <c r="L138" s="13" t="s">
        <v>307</v>
      </c>
    </row>
    <row r="139" spans="1:15" x14ac:dyDescent="0.3">
      <c r="B139" s="55" t="s">
        <v>66</v>
      </c>
      <c r="C139" s="56">
        <f>C137+C138</f>
        <v>636412661.66118407</v>
      </c>
      <c r="D139" s="60" t="s">
        <v>54</v>
      </c>
      <c r="E139" s="71">
        <f>(E126-(12000*2))*1.025+(12000*2)</f>
        <v>616573.23601973662</v>
      </c>
      <c r="F139" s="58" t="s">
        <v>98</v>
      </c>
      <c r="G139" s="59">
        <f>-70000-(97000-38000)+29000</f>
        <v>-100000</v>
      </c>
      <c r="H139" s="69" t="s">
        <v>240</v>
      </c>
      <c r="L139" s="276" t="s">
        <v>301</v>
      </c>
      <c r="M139" s="276" t="s">
        <v>302</v>
      </c>
      <c r="N139" s="276" t="s">
        <v>303</v>
      </c>
      <c r="O139" s="278" t="s">
        <v>305</v>
      </c>
    </row>
    <row r="140" spans="1:15" ht="17.25" thickBot="1" x14ac:dyDescent="0.35">
      <c r="B140" s="422" t="s">
        <v>84</v>
      </c>
      <c r="C140" s="421">
        <f>ROUND((AVERAGE(C137,C139)-20000000)*(1+0.02)^5-(AVERAGE(C137,C139)-20000000),-4)*1</f>
        <v>57590000</v>
      </c>
      <c r="D140" s="120" t="s">
        <v>101</v>
      </c>
      <c r="E140" s="87"/>
      <c r="F140" s="58" t="s">
        <v>46</v>
      </c>
      <c r="G140" s="59">
        <f>-165000-109000-20600</f>
        <v>-294600</v>
      </c>
      <c r="H140" s="275" t="s">
        <v>346</v>
      </c>
      <c r="L140" s="277">
        <f>2200000*12*5+1540000*12*15</f>
        <v>409200000</v>
      </c>
      <c r="M140" s="277">
        <f>-L140*0.04/12</f>
        <v>-1364000</v>
      </c>
      <c r="N140" s="277">
        <f>(C137-20000000)*0.04/12</f>
        <v>1634314.2249999999</v>
      </c>
      <c r="O140" s="14">
        <f>SUM(M140:N140)</f>
        <v>270314.22499999986</v>
      </c>
    </row>
    <row r="141" spans="1:15" ht="17.25" thickBot="1" x14ac:dyDescent="0.35">
      <c r="B141" s="260" t="s">
        <v>276</v>
      </c>
      <c r="C141" s="261">
        <f>C140+C139</f>
        <v>694002661.66118407</v>
      </c>
      <c r="D141" s="129" t="s">
        <v>92</v>
      </c>
      <c r="E141" s="121"/>
      <c r="F141" s="58" t="s">
        <v>47</v>
      </c>
      <c r="G141" s="230">
        <f>ROUND(-200000-450000/12,-4)</f>
        <v>-240000</v>
      </c>
      <c r="H141" s="50" t="s">
        <v>273</v>
      </c>
      <c r="L141" s="115" t="s">
        <v>309</v>
      </c>
    </row>
    <row r="142" spans="1:15" ht="17.25" thickBot="1" x14ac:dyDescent="0.35">
      <c r="B142" s="55" t="s">
        <v>138</v>
      </c>
      <c r="C142" s="56">
        <f>ROUND(현자산!F19*1.05,-5)</f>
        <v>288400000</v>
      </c>
      <c r="D142" s="80" t="s">
        <v>59</v>
      </c>
      <c r="E142" s="81">
        <f>(-F136+C136-SUM(E137:E141))</f>
        <v>-2101973.2360197362</v>
      </c>
      <c r="F142" s="127" t="s">
        <v>270</v>
      </c>
      <c r="G142" s="128">
        <f>-150000-ROUND(1400000/12,-4)</f>
        <v>-270000</v>
      </c>
      <c r="H142" s="20" t="s">
        <v>271</v>
      </c>
      <c r="L142" s="115" t="s">
        <v>311</v>
      </c>
    </row>
    <row r="143" spans="1:15" ht="17.25" thickBot="1" x14ac:dyDescent="0.35">
      <c r="B143" s="55" t="s">
        <v>264</v>
      </c>
      <c r="C143" s="56">
        <f>IF(ROUND((700000000-'보증잔액 Table'!J28),-3)&lt;0,0,ROUND((700000000-'보증잔액 Table'!J28),-3))</f>
        <v>0</v>
      </c>
      <c r="D143" s="20" t="s">
        <v>278</v>
      </c>
      <c r="F143" s="17" t="s">
        <v>50</v>
      </c>
      <c r="G143" s="1">
        <v>-120000</v>
      </c>
      <c r="H143" s="20" t="s">
        <v>257</v>
      </c>
      <c r="L143" s="115" t="s">
        <v>313</v>
      </c>
    </row>
    <row r="144" spans="1:15" ht="17.25" thickBot="1" x14ac:dyDescent="0.35">
      <c r="A144" s="20"/>
      <c r="B144" s="173" t="s">
        <v>139</v>
      </c>
      <c r="C144" s="172">
        <f>SUM(C141:C143)</f>
        <v>982402661.66118407</v>
      </c>
      <c r="D144" s="116" t="s">
        <v>445</v>
      </c>
      <c r="F144" s="17"/>
      <c r="L144" s="115" t="s">
        <v>447</v>
      </c>
    </row>
    <row r="145" spans="1:15" x14ac:dyDescent="0.3">
      <c r="A145" s="20"/>
      <c r="B145" s="213" t="s">
        <v>202</v>
      </c>
      <c r="C145" s="214">
        <f>ROUND(1500000*(12+24+24+60+60)+C144,-3)</f>
        <v>1252403000</v>
      </c>
      <c r="D145" s="116" t="s">
        <v>446</v>
      </c>
      <c r="F145" s="17"/>
    </row>
    <row r="146" spans="1:15" x14ac:dyDescent="0.3">
      <c r="C146" s="69"/>
      <c r="D146" s="69"/>
      <c r="F146" s="17"/>
    </row>
    <row r="147" spans="1:15" x14ac:dyDescent="0.3">
      <c r="B147" s="47" t="s">
        <v>237</v>
      </c>
      <c r="E147" s="231" t="s">
        <v>269</v>
      </c>
      <c r="F147" s="231">
        <f>G134</f>
        <v>456000000</v>
      </c>
      <c r="G147" s="232">
        <f>ROUND(C154+C155+(700000000-'보증잔액 Table'!J33),-6)</f>
        <v>149000000</v>
      </c>
      <c r="H147" s="233" t="s">
        <v>217</v>
      </c>
      <c r="I147" s="234"/>
    </row>
    <row r="148" spans="1:15" x14ac:dyDescent="0.3">
      <c r="B148" s="9" t="s">
        <v>34</v>
      </c>
      <c r="C148" s="10" t="s">
        <v>35</v>
      </c>
      <c r="D148" s="452" t="s">
        <v>36</v>
      </c>
      <c r="E148" s="453"/>
      <c r="F148" s="454" t="s">
        <v>37</v>
      </c>
      <c r="G148" s="446"/>
      <c r="H148" s="145" t="s">
        <v>142</v>
      </c>
    </row>
    <row r="149" spans="1:15" x14ac:dyDescent="0.3">
      <c r="B149" s="9"/>
      <c r="C149" s="130">
        <f>C136</f>
        <v>700000</v>
      </c>
      <c r="D149" s="452">
        <f>SUM(E150:E155)</f>
        <v>2224600</v>
      </c>
      <c r="E149" s="453"/>
      <c r="F149" s="454">
        <f>SUM(G150:G156)</f>
        <v>-1524600</v>
      </c>
      <c r="G149" s="446"/>
      <c r="H149" s="20" t="s">
        <v>143</v>
      </c>
    </row>
    <row r="150" spans="1:15" x14ac:dyDescent="0.3">
      <c r="B150" s="55" t="s">
        <v>53</v>
      </c>
      <c r="C150" s="56">
        <f>C141</f>
        <v>694002661.66118407</v>
      </c>
      <c r="D150" s="17" t="s">
        <v>39</v>
      </c>
      <c r="E150" s="1">
        <f>ROUND(E137*1.05,-4)</f>
        <v>2280000</v>
      </c>
      <c r="F150" s="156" t="s">
        <v>130</v>
      </c>
      <c r="G150" s="54">
        <v>-450000</v>
      </c>
      <c r="H150" s="69" t="s">
        <v>225</v>
      </c>
    </row>
    <row r="151" spans="1:15" x14ac:dyDescent="0.3">
      <c r="B151" s="58" t="s">
        <v>73</v>
      </c>
      <c r="C151" s="59">
        <f>-E155*60</f>
        <v>133607254.01521382</v>
      </c>
      <c r="D151" s="58" t="s">
        <v>71</v>
      </c>
      <c r="E151" s="59">
        <f>D33</f>
        <v>1540000</v>
      </c>
      <c r="F151" s="58" t="s">
        <v>42</v>
      </c>
      <c r="G151" s="59">
        <v>-50000</v>
      </c>
      <c r="H151" s="20" t="s">
        <v>117</v>
      </c>
      <c r="L151" s="13" t="s">
        <v>308</v>
      </c>
    </row>
    <row r="152" spans="1:15" x14ac:dyDescent="0.3">
      <c r="B152" s="55" t="s">
        <v>66</v>
      </c>
      <c r="C152" s="56">
        <f>C150+C151</f>
        <v>827609915.67639792</v>
      </c>
      <c r="D152" s="60" t="s">
        <v>54</v>
      </c>
      <c r="E152" s="71">
        <f>(E139-(12000*2))*1.025+(12000*2)</f>
        <v>631387.56692022993</v>
      </c>
      <c r="F152" s="58" t="s">
        <v>98</v>
      </c>
      <c r="G152" s="59">
        <f>-70000-(97000-38000)+29000</f>
        <v>-100000</v>
      </c>
      <c r="H152" s="69" t="s">
        <v>240</v>
      </c>
      <c r="L152" s="276" t="s">
        <v>301</v>
      </c>
      <c r="M152" s="276" t="s">
        <v>302</v>
      </c>
      <c r="N152" s="276" t="s">
        <v>303</v>
      </c>
      <c r="O152" s="278" t="s">
        <v>305</v>
      </c>
    </row>
    <row r="153" spans="1:15" ht="17.25" thickBot="1" x14ac:dyDescent="0.35">
      <c r="B153" s="422" t="s">
        <v>84</v>
      </c>
      <c r="C153" s="421">
        <f>ROUND((AVERAGE(C150,C152)-20000000)*(1+0.02)^5-(AVERAGE(C150,C152)-20000000),-4)*1</f>
        <v>77100000</v>
      </c>
      <c r="D153" s="120" t="s">
        <v>101</v>
      </c>
      <c r="E153" s="87"/>
      <c r="F153" s="58" t="s">
        <v>46</v>
      </c>
      <c r="G153" s="59">
        <f>-165000-109000-20600</f>
        <v>-294600</v>
      </c>
      <c r="H153" s="275" t="s">
        <v>346</v>
      </c>
      <c r="L153" s="277">
        <f>2200000*12*5+1540000*12*20</f>
        <v>501600000</v>
      </c>
      <c r="M153" s="277">
        <f>-L153*0.04/12</f>
        <v>-1672000</v>
      </c>
      <c r="N153" s="277">
        <f>(C150-20000000)*0.04/12</f>
        <v>2246675.5388706136</v>
      </c>
      <c r="O153" s="14">
        <f>SUM(M153:N153)</f>
        <v>574675.53887061356</v>
      </c>
    </row>
    <row r="154" spans="1:15" ht="17.25" thickBot="1" x14ac:dyDescent="0.35">
      <c r="B154" s="260" t="s">
        <v>276</v>
      </c>
      <c r="C154" s="261">
        <f>C153+C152</f>
        <v>904709915.67639792</v>
      </c>
      <c r="D154" s="129" t="s">
        <v>92</v>
      </c>
      <c r="E154" s="121"/>
      <c r="F154" s="228" t="s">
        <v>47</v>
      </c>
      <c r="G154" s="230">
        <f>ROUND(-200000-450000/12,-4)</f>
        <v>-240000</v>
      </c>
      <c r="H154" s="50" t="s">
        <v>273</v>
      </c>
      <c r="L154" s="115" t="s">
        <v>309</v>
      </c>
    </row>
    <row r="155" spans="1:15" ht="17.25" thickBot="1" x14ac:dyDescent="0.35">
      <c r="B155" s="55" t="s">
        <v>138</v>
      </c>
      <c r="C155" s="56">
        <f>ROUND(현자산!E19,-5)</f>
        <v>293400000</v>
      </c>
      <c r="D155" s="80" t="s">
        <v>59</v>
      </c>
      <c r="E155" s="81">
        <f>(-F149+C149-SUM(E150:E154))</f>
        <v>-2226787.5669202302</v>
      </c>
      <c r="F155" s="127" t="s">
        <v>270</v>
      </c>
      <c r="G155" s="128">
        <f>-150000-ROUND(1400000/12,-4)</f>
        <v>-270000</v>
      </c>
      <c r="H155" s="20" t="s">
        <v>271</v>
      </c>
      <c r="L155" s="115" t="s">
        <v>311</v>
      </c>
    </row>
    <row r="156" spans="1:15" ht="17.25" thickBot="1" x14ac:dyDescent="0.35">
      <c r="B156" s="55" t="s">
        <v>264</v>
      </c>
      <c r="C156" s="56">
        <f>IF(ROUND((700000000-'보증잔액 Table'!J33),-3)&lt;0,0,ROUND((700000000-'보증잔액 Table'!J33),-3))</f>
        <v>0</v>
      </c>
      <c r="D156" s="20" t="s">
        <v>278</v>
      </c>
      <c r="F156" s="17" t="s">
        <v>50</v>
      </c>
      <c r="G156" s="1">
        <v>-120000</v>
      </c>
      <c r="H156" s="20" t="s">
        <v>257</v>
      </c>
      <c r="L156" s="115" t="s">
        <v>313</v>
      </c>
    </row>
    <row r="157" spans="1:15" ht="17.25" thickBot="1" x14ac:dyDescent="0.35">
      <c r="B157" s="173" t="s">
        <v>139</v>
      </c>
      <c r="C157" s="172">
        <f>SUM(C154:C156)</f>
        <v>1198109915.6763978</v>
      </c>
      <c r="D157" s="116" t="s">
        <v>445</v>
      </c>
      <c r="F157" s="17"/>
      <c r="L157" s="115" t="s">
        <v>447</v>
      </c>
    </row>
    <row r="158" spans="1:15" x14ac:dyDescent="0.3">
      <c r="B158" s="213" t="s">
        <v>202</v>
      </c>
      <c r="C158" s="214">
        <f>ROUND(1500000*(12+24+24+60+60)+C157,-3)</f>
        <v>1468110000</v>
      </c>
      <c r="D158" s="116" t="s">
        <v>446</v>
      </c>
      <c r="F158" s="17"/>
    </row>
    <row r="159" spans="1:15" x14ac:dyDescent="0.3">
      <c r="C159" s="17"/>
      <c r="D159" s="17"/>
      <c r="E159" s="17"/>
      <c r="F159" s="17"/>
    </row>
    <row r="160" spans="1:15" ht="17.25" thickBot="1" x14ac:dyDescent="0.35">
      <c r="C160" s="236" t="s">
        <v>226</v>
      </c>
    </row>
    <row r="161" spans="1:16" ht="18" thickTop="1" thickBot="1" x14ac:dyDescent="0.35">
      <c r="B161" s="105" t="s">
        <v>85</v>
      </c>
      <c r="C161" s="106">
        <f>SUM(C163:C165)</f>
        <v>1298109915.6763978</v>
      </c>
      <c r="D161" s="69" t="s">
        <v>207</v>
      </c>
      <c r="J161" s="133"/>
      <c r="K161" s="338" t="s">
        <v>453</v>
      </c>
      <c r="L161" s="89"/>
      <c r="M161" s="89"/>
      <c r="N161" s="89"/>
      <c r="O161" s="89"/>
      <c r="P161" s="89"/>
    </row>
    <row r="162" spans="1:16" ht="18" thickTop="1" thickBot="1" x14ac:dyDescent="0.35">
      <c r="B162" s="211" t="s">
        <v>201</v>
      </c>
      <c r="C162" s="212">
        <f>C161+C172</f>
        <v>1568109915.6763978</v>
      </c>
      <c r="D162" s="85" t="s">
        <v>203</v>
      </c>
      <c r="J162" s="133"/>
      <c r="K162" s="1" t="s">
        <v>448</v>
      </c>
    </row>
    <row r="163" spans="1:16" ht="17.25" thickTop="1" x14ac:dyDescent="0.3">
      <c r="B163" s="57" t="s">
        <v>180</v>
      </c>
      <c r="C163" s="96">
        <f>현자산!E19</f>
        <v>293400000</v>
      </c>
      <c r="D163" s="69" t="s">
        <v>443</v>
      </c>
      <c r="K163" s="1" t="s">
        <v>449</v>
      </c>
    </row>
    <row r="164" spans="1:16" x14ac:dyDescent="0.3">
      <c r="B164" s="57" t="s">
        <v>179</v>
      </c>
      <c r="C164" s="96">
        <f>C154</f>
        <v>904709915.67639792</v>
      </c>
      <c r="D164" s="69" t="s">
        <v>444</v>
      </c>
      <c r="K164" s="1" t="s">
        <v>450</v>
      </c>
    </row>
    <row r="165" spans="1:16" x14ac:dyDescent="0.3">
      <c r="B165" s="134" t="s">
        <v>441</v>
      </c>
      <c r="C165" s="326">
        <v>100000000</v>
      </c>
      <c r="D165" s="85" t="s">
        <v>442</v>
      </c>
      <c r="K165" s="329" t="s">
        <v>451</v>
      </c>
    </row>
    <row r="166" spans="1:16" ht="17.25" thickBot="1" x14ac:dyDescent="0.35">
      <c r="A166" s="109"/>
      <c r="B166" s="109"/>
      <c r="C166" s="108"/>
      <c r="D166" s="85"/>
      <c r="K166" s="1" t="s">
        <v>452</v>
      </c>
    </row>
    <row r="167" spans="1:16" ht="17.25" thickBot="1" x14ac:dyDescent="0.35">
      <c r="B167" s="153" t="s">
        <v>114</v>
      </c>
      <c r="C167" s="144">
        <f>SUM(C168:C170)</f>
        <v>1543728900.3947368</v>
      </c>
      <c r="K167" s="363" t="s">
        <v>466</v>
      </c>
    </row>
    <row r="168" spans="1:16" x14ac:dyDescent="0.3">
      <c r="B168" s="152" t="s">
        <v>39</v>
      </c>
      <c r="C168" s="151">
        <f>(E5*1.5+E18*0.5+E38*1+E54*2+E70*2+E96*5+E110*5+E124*5+E137*5+E150*5)*12</f>
        <v>767136000</v>
      </c>
      <c r="K168" s="238" t="s">
        <v>455</v>
      </c>
    </row>
    <row r="169" spans="1:16" x14ac:dyDescent="0.3">
      <c r="B169" s="152" t="s">
        <v>116</v>
      </c>
      <c r="C169" s="151">
        <f>E40*12+E98*120+E126*180</f>
        <v>182592900.39473683</v>
      </c>
      <c r="D169" s="1" t="s">
        <v>210</v>
      </c>
      <c r="K169" s="238" t="s">
        <v>456</v>
      </c>
    </row>
    <row r="170" spans="1:16" ht="17.25" thickBot="1" x14ac:dyDescent="0.35">
      <c r="B170" s="224" t="s">
        <v>71</v>
      </c>
      <c r="C170" s="225">
        <f>E39*12*5+E97*12*25</f>
        <v>594000000</v>
      </c>
      <c r="D170" s="1" t="s">
        <v>323</v>
      </c>
      <c r="K170" s="238" t="s">
        <v>457</v>
      </c>
    </row>
    <row r="171" spans="1:16" x14ac:dyDescent="0.3">
      <c r="B171" s="208" t="s">
        <v>263</v>
      </c>
      <c r="C171" s="209">
        <f>1500000*12*30</f>
        <v>540000000</v>
      </c>
      <c r="D171" s="1" t="s">
        <v>477</v>
      </c>
      <c r="K171" s="238" t="s">
        <v>454</v>
      </c>
    </row>
    <row r="172" spans="1:16" ht="17.25" thickBot="1" x14ac:dyDescent="0.35">
      <c r="B172" s="224" t="s">
        <v>200</v>
      </c>
      <c r="C172" s="225">
        <f>1500000*12*15</f>
        <v>270000000</v>
      </c>
      <c r="D172" s="1" t="s">
        <v>199</v>
      </c>
    </row>
    <row r="173" spans="1:16" ht="17.25" thickBot="1" x14ac:dyDescent="0.35">
      <c r="B173" s="154" t="s">
        <v>115</v>
      </c>
      <c r="C173" s="155">
        <f>SUM(C168:C172)</f>
        <v>2353728900.3947368</v>
      </c>
      <c r="D173" s="210">
        <f>SUM(C170:C172)</f>
        <v>1404000000</v>
      </c>
      <c r="E173" s="69" t="s">
        <v>204</v>
      </c>
      <c r="K173" s="338" t="s">
        <v>458</v>
      </c>
      <c r="L173" s="89"/>
      <c r="M173" s="89"/>
      <c r="N173" s="89"/>
      <c r="O173" s="89"/>
      <c r="P173" s="89"/>
    </row>
    <row r="174" spans="1:16" ht="17.25" thickBot="1" x14ac:dyDescent="0.35">
      <c r="D174" s="210">
        <f>(1500000*12*15)+D173</f>
        <v>1674000000</v>
      </c>
      <c r="E174" s="69" t="s">
        <v>316</v>
      </c>
      <c r="K174" s="1" t="s">
        <v>459</v>
      </c>
    </row>
    <row r="175" spans="1:16" x14ac:dyDescent="0.3">
      <c r="D175" s="69" t="s">
        <v>214</v>
      </c>
      <c r="K175" s="1" t="s">
        <v>460</v>
      </c>
    </row>
    <row r="176" spans="1:16" x14ac:dyDescent="0.3">
      <c r="D176" s="69" t="s">
        <v>215</v>
      </c>
      <c r="K176" s="329" t="s">
        <v>461</v>
      </c>
    </row>
    <row r="177" spans="2:16" x14ac:dyDescent="0.3">
      <c r="D177" s="69" t="s">
        <v>216</v>
      </c>
      <c r="K177" s="59" t="s">
        <v>473</v>
      </c>
    </row>
    <row r="178" spans="2:16" ht="17.25" thickBot="1" x14ac:dyDescent="0.35">
      <c r="B178" s="289" t="s">
        <v>480</v>
      </c>
      <c r="D178" s="289" t="s">
        <v>475</v>
      </c>
      <c r="K178" s="59" t="s">
        <v>494</v>
      </c>
    </row>
    <row r="179" spans="2:16" ht="17.25" thickBot="1" x14ac:dyDescent="0.35">
      <c r="B179" s="153" t="s">
        <v>114</v>
      </c>
      <c r="C179" s="144">
        <f>SUM(C180:C182)</f>
        <v>1543728900.3947368</v>
      </c>
      <c r="D179" s="1" t="s">
        <v>476</v>
      </c>
      <c r="K179" s="363" t="s">
        <v>462</v>
      </c>
    </row>
    <row r="180" spans="2:16" x14ac:dyDescent="0.3">
      <c r="B180" s="152" t="s">
        <v>39</v>
      </c>
      <c r="C180" s="151">
        <f>C168</f>
        <v>767136000</v>
      </c>
      <c r="K180" s="238" t="s">
        <v>463</v>
      </c>
    </row>
    <row r="181" spans="2:16" x14ac:dyDescent="0.3">
      <c r="B181" s="152" t="s">
        <v>116</v>
      </c>
      <c r="C181" s="151">
        <f t="shared" ref="C181:C182" si="0">C169</f>
        <v>182592900.39473683</v>
      </c>
      <c r="K181" s="238" t="s">
        <v>464</v>
      </c>
    </row>
    <row r="182" spans="2:16" ht="17.25" thickBot="1" x14ac:dyDescent="0.35">
      <c r="B182" s="224" t="s">
        <v>71</v>
      </c>
      <c r="C182" s="225">
        <f t="shared" si="0"/>
        <v>594000000</v>
      </c>
      <c r="D182" s="1" t="s">
        <v>323</v>
      </c>
      <c r="K182" s="238" t="s">
        <v>465</v>
      </c>
    </row>
    <row r="183" spans="2:16" x14ac:dyDescent="0.3">
      <c r="B183" s="208" t="s">
        <v>478</v>
      </c>
      <c r="C183" s="209">
        <f>1500000*12*15</f>
        <v>270000000</v>
      </c>
      <c r="D183" s="1" t="s">
        <v>477</v>
      </c>
      <c r="K183" s="238" t="s">
        <v>492</v>
      </c>
    </row>
    <row r="184" spans="2:16" x14ac:dyDescent="0.3">
      <c r="B184" s="359" t="s">
        <v>479</v>
      </c>
      <c r="C184" s="360">
        <f>1500000*12*15</f>
        <v>270000000</v>
      </c>
      <c r="K184" s="238" t="s">
        <v>493</v>
      </c>
    </row>
    <row r="185" spans="2:16" ht="17.25" thickBot="1" x14ac:dyDescent="0.35">
      <c r="B185" s="224" t="s">
        <v>481</v>
      </c>
      <c r="C185" s="225">
        <f>1500000*12*15</f>
        <v>270000000</v>
      </c>
    </row>
    <row r="186" spans="2:16" ht="17.25" thickBot="1" x14ac:dyDescent="0.35">
      <c r="B186" s="154" t="s">
        <v>115</v>
      </c>
      <c r="C186" s="155">
        <f>SUM(C180:C185)</f>
        <v>2353728900.3947368</v>
      </c>
      <c r="K186" s="338" t="s">
        <v>486</v>
      </c>
      <c r="L186" s="89"/>
      <c r="M186" s="89"/>
      <c r="N186" s="89"/>
      <c r="O186" s="89"/>
      <c r="P186" s="89"/>
    </row>
    <row r="187" spans="2:16" x14ac:dyDescent="0.3">
      <c r="K187" s="1" t="s">
        <v>487</v>
      </c>
    </row>
    <row r="188" spans="2:16" ht="17.25" thickBot="1" x14ac:dyDescent="0.35">
      <c r="B188" s="289" t="s">
        <v>482</v>
      </c>
      <c r="K188" s="1" t="s">
        <v>488</v>
      </c>
    </row>
    <row r="189" spans="2:16" ht="17.25" thickBot="1" x14ac:dyDescent="0.35">
      <c r="B189" s="153" t="s">
        <v>114</v>
      </c>
      <c r="C189" s="144">
        <f>SUM(C190:C192)</f>
        <v>1543728900.3947368</v>
      </c>
      <c r="K189" s="329" t="s">
        <v>489</v>
      </c>
    </row>
    <row r="190" spans="2:16" x14ac:dyDescent="0.3">
      <c r="B190" s="152" t="s">
        <v>39</v>
      </c>
      <c r="C190" s="151">
        <f>C180</f>
        <v>767136000</v>
      </c>
      <c r="K190" s="59" t="s">
        <v>491</v>
      </c>
    </row>
    <row r="191" spans="2:16" x14ac:dyDescent="0.3">
      <c r="B191" s="152" t="s">
        <v>116</v>
      </c>
      <c r="C191" s="151">
        <f>C181</f>
        <v>182592900.39473683</v>
      </c>
      <c r="K191" s="59" t="s">
        <v>490</v>
      </c>
    </row>
    <row r="192" spans="2:16" ht="17.25" thickBot="1" x14ac:dyDescent="0.35">
      <c r="B192" s="224" t="s">
        <v>71</v>
      </c>
      <c r="C192" s="225">
        <f>C182</f>
        <v>594000000</v>
      </c>
    </row>
    <row r="193" spans="2:4" x14ac:dyDescent="0.3">
      <c r="B193" s="208" t="s">
        <v>483</v>
      </c>
      <c r="C193" s="209">
        <f>1500000*12*30</f>
        <v>540000000</v>
      </c>
    </row>
    <row r="194" spans="2:4" ht="17.25" thickBot="1" x14ac:dyDescent="0.35">
      <c r="B194" s="224" t="s">
        <v>479</v>
      </c>
      <c r="C194" s="225">
        <f>1500000*12*30</f>
        <v>540000000</v>
      </c>
      <c r="D194" s="1" t="s">
        <v>484</v>
      </c>
    </row>
    <row r="195" spans="2:4" ht="17.25" thickBot="1" x14ac:dyDescent="0.35">
      <c r="B195" s="154" t="s">
        <v>115</v>
      </c>
      <c r="C195" s="155">
        <f>SUM(C190:C194)</f>
        <v>2623728900.3947368</v>
      </c>
    </row>
  </sheetData>
  <mergeCells count="44">
    <mergeCell ref="D149:E149"/>
    <mergeCell ref="F149:G149"/>
    <mergeCell ref="D135:E135"/>
    <mergeCell ref="F135:G135"/>
    <mergeCell ref="D136:E136"/>
    <mergeCell ref="F136:G136"/>
    <mergeCell ref="D148:E148"/>
    <mergeCell ref="F148:G148"/>
    <mergeCell ref="D109:E109"/>
    <mergeCell ref="F109:G109"/>
    <mergeCell ref="D122:E122"/>
    <mergeCell ref="F122:G122"/>
    <mergeCell ref="D123:E123"/>
    <mergeCell ref="F123:G123"/>
    <mergeCell ref="D94:E94"/>
    <mergeCell ref="F94:G94"/>
    <mergeCell ref="D95:E95"/>
    <mergeCell ref="F95:G95"/>
    <mergeCell ref="D108:E108"/>
    <mergeCell ref="F108:G108"/>
    <mergeCell ref="D53:E53"/>
    <mergeCell ref="F53:G53"/>
    <mergeCell ref="D68:E68"/>
    <mergeCell ref="F68:G68"/>
    <mergeCell ref="D69:E69"/>
    <mergeCell ref="F69:G69"/>
    <mergeCell ref="D36:E36"/>
    <mergeCell ref="F36:G36"/>
    <mergeCell ref="D37:E37"/>
    <mergeCell ref="F37:G37"/>
    <mergeCell ref="D52:E52"/>
    <mergeCell ref="F52:G52"/>
    <mergeCell ref="D17:E17"/>
    <mergeCell ref="F17:G17"/>
    <mergeCell ref="B32:C32"/>
    <mergeCell ref="D32:E32"/>
    <mergeCell ref="B33:C33"/>
    <mergeCell ref="D33:E33"/>
    <mergeCell ref="D3:E3"/>
    <mergeCell ref="F3:G3"/>
    <mergeCell ref="D4:E4"/>
    <mergeCell ref="F4:G4"/>
    <mergeCell ref="D16:E16"/>
    <mergeCell ref="F16:G16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BCEC-9F9F-46E6-BDAF-A1DE3040C3D5}">
  <sheetPr>
    <tabColor rgb="FF26DA55"/>
  </sheetPr>
  <dimension ref="A1:O177"/>
  <sheetViews>
    <sheetView topLeftCell="A67" zoomScale="110" zoomScaleNormal="110" workbookViewId="0">
      <selection activeCell="F93" sqref="F93"/>
    </sheetView>
  </sheetViews>
  <sheetFormatPr defaultColWidth="8.625" defaultRowHeight="16.5" x14ac:dyDescent="0.3"/>
  <cols>
    <col min="1" max="1" width="1.625" style="1" customWidth="1"/>
    <col min="2" max="2" width="18.375" style="1" customWidth="1"/>
    <col min="3" max="3" width="16.25" style="1" customWidth="1"/>
    <col min="4" max="4" width="14.75" style="1" customWidth="1"/>
    <col min="5" max="5" width="15.25" style="1" customWidth="1"/>
    <col min="6" max="6" width="16.75" style="1" customWidth="1"/>
    <col min="7" max="7" width="15.5" style="1" customWidth="1"/>
    <col min="8" max="8" width="11.5" style="1" bestFit="1" customWidth="1"/>
    <col min="9" max="9" width="14.625" style="1" bestFit="1" customWidth="1"/>
    <col min="10" max="10" width="14.125" style="1" customWidth="1"/>
    <col min="11" max="11" width="13.125" style="1" customWidth="1"/>
    <col min="12" max="12" width="13.625" style="1" customWidth="1"/>
    <col min="13" max="13" width="12.375" style="1" customWidth="1"/>
    <col min="14" max="14" width="11.625" style="1" customWidth="1"/>
    <col min="15" max="15" width="11.875" style="1" customWidth="1"/>
    <col min="16" max="16384" width="8.625" style="1"/>
  </cols>
  <sheetData>
    <row r="1" spans="2:12" ht="17.25" hidden="1" thickBot="1" x14ac:dyDescent="0.35">
      <c r="B1" s="122"/>
      <c r="J1" s="45"/>
      <c r="K1" s="46"/>
    </row>
    <row r="2" spans="2:12" ht="17.25" hidden="1" thickBot="1" x14ac:dyDescent="0.3">
      <c r="B2" s="47" t="s">
        <v>205</v>
      </c>
      <c r="G2" s="48" t="s">
        <v>33</v>
      </c>
      <c r="J2" s="45"/>
      <c r="K2" s="46"/>
    </row>
    <row r="3" spans="2:12" ht="17.25" hidden="1" thickBot="1" x14ac:dyDescent="0.35">
      <c r="B3" s="9" t="s">
        <v>34</v>
      </c>
      <c r="C3" s="10" t="s">
        <v>35</v>
      </c>
      <c r="D3" s="452" t="s">
        <v>36</v>
      </c>
      <c r="E3" s="453"/>
      <c r="F3" s="454" t="s">
        <v>37</v>
      </c>
      <c r="G3" s="446"/>
      <c r="J3" s="45"/>
      <c r="K3" s="46"/>
    </row>
    <row r="4" spans="2:12" ht="17.25" hidden="1" thickBot="1" x14ac:dyDescent="0.35">
      <c r="B4" s="9" t="s">
        <v>38</v>
      </c>
      <c r="C4" s="14">
        <f>SUM(D4,F4)</f>
        <v>1895000</v>
      </c>
      <c r="D4" s="452">
        <f>SUM(E5:E8)</f>
        <v>5950000</v>
      </c>
      <c r="E4" s="453"/>
      <c r="F4" s="454">
        <f>SUM(G5:G13)</f>
        <v>-4055000</v>
      </c>
      <c r="G4" s="446"/>
      <c r="J4" s="45"/>
      <c r="K4" s="46"/>
    </row>
    <row r="5" spans="2:12" ht="17.25" hidden="1" thickBot="1" x14ac:dyDescent="0.35">
      <c r="D5" s="17" t="s">
        <v>39</v>
      </c>
      <c r="E5" s="1">
        <v>1650000</v>
      </c>
      <c r="F5" s="17" t="s">
        <v>40</v>
      </c>
      <c r="G5" s="1">
        <v>-700000</v>
      </c>
      <c r="J5" s="45"/>
      <c r="K5" s="46"/>
    </row>
    <row r="6" spans="2:12" ht="17.25" hidden="1" thickBot="1" x14ac:dyDescent="0.35">
      <c r="D6" s="17" t="s">
        <v>41</v>
      </c>
      <c r="E6" s="1">
        <v>1000000</v>
      </c>
      <c r="F6" s="17" t="s">
        <v>42</v>
      </c>
      <c r="G6" s="1">
        <v>-400000</v>
      </c>
      <c r="J6" s="45"/>
      <c r="K6" s="46"/>
      <c r="L6" s="50"/>
    </row>
    <row r="7" spans="2:12" ht="17.25" hidden="1" thickBot="1" x14ac:dyDescent="0.35">
      <c r="D7" s="17" t="s">
        <v>43</v>
      </c>
      <c r="E7" s="1">
        <v>2800000</v>
      </c>
      <c r="F7" s="17" t="s">
        <v>44</v>
      </c>
      <c r="G7" s="1">
        <v>-300000</v>
      </c>
      <c r="J7" s="45"/>
      <c r="K7" s="46"/>
    </row>
    <row r="8" spans="2:12" ht="17.25" hidden="1" thickBot="1" x14ac:dyDescent="0.35">
      <c r="D8" s="1" t="s">
        <v>45</v>
      </c>
      <c r="E8" s="1">
        <v>500000</v>
      </c>
      <c r="F8" s="17" t="s">
        <v>46</v>
      </c>
      <c r="G8" s="1">
        <f>-(460000+200000)-100000</f>
        <v>-760000</v>
      </c>
      <c r="J8" s="51"/>
    </row>
    <row r="9" spans="2:12" ht="17.25" hidden="1" thickBot="1" x14ac:dyDescent="0.35">
      <c r="F9" s="17" t="s">
        <v>47</v>
      </c>
      <c r="G9" s="1">
        <v>-400000</v>
      </c>
      <c r="J9" s="51"/>
    </row>
    <row r="10" spans="2:12" ht="17.25" hidden="1" thickBot="1" x14ac:dyDescent="0.35">
      <c r="F10" s="17" t="s">
        <v>48</v>
      </c>
      <c r="G10" s="1">
        <f>-(120000000*0.0425/12)-120000</f>
        <v>-545000</v>
      </c>
      <c r="J10" s="52"/>
    </row>
    <row r="11" spans="2:12" ht="17.25" hidden="1" thickBot="1" x14ac:dyDescent="0.35">
      <c r="F11" s="17" t="s">
        <v>49</v>
      </c>
      <c r="G11" s="1">
        <v>-225000</v>
      </c>
      <c r="J11" s="46"/>
    </row>
    <row r="12" spans="2:12" ht="17.25" hidden="1" thickBot="1" x14ac:dyDescent="0.35">
      <c r="F12" s="17" t="s">
        <v>50</v>
      </c>
      <c r="G12" s="1">
        <v>-225000</v>
      </c>
      <c r="J12" s="53"/>
    </row>
    <row r="13" spans="2:12" ht="17.25" hidden="1" thickBot="1" x14ac:dyDescent="0.35">
      <c r="F13" s="127" t="s">
        <v>51</v>
      </c>
      <c r="G13" s="128">
        <v>-500000</v>
      </c>
      <c r="J13" s="53"/>
    </row>
    <row r="14" spans="2:12" ht="17.25" hidden="1" thickBot="1" x14ac:dyDescent="0.35">
      <c r="F14" s="17"/>
      <c r="J14" s="53"/>
    </row>
    <row r="15" spans="2:12" ht="17.25" hidden="1" thickBot="1" x14ac:dyDescent="0.35">
      <c r="B15" s="47" t="s">
        <v>227</v>
      </c>
    </row>
    <row r="16" spans="2:12" ht="17.25" hidden="1" thickBot="1" x14ac:dyDescent="0.35">
      <c r="B16" s="9" t="s">
        <v>34</v>
      </c>
      <c r="C16" s="10" t="s">
        <v>35</v>
      </c>
      <c r="D16" s="452" t="s">
        <v>36</v>
      </c>
      <c r="E16" s="453"/>
      <c r="F16" s="454" t="s">
        <v>37</v>
      </c>
      <c r="G16" s="446"/>
      <c r="H16" s="20" t="s">
        <v>52</v>
      </c>
    </row>
    <row r="17" spans="2:15" ht="17.25" hidden="1" thickBot="1" x14ac:dyDescent="0.35">
      <c r="B17" s="9"/>
      <c r="C17" s="130">
        <v>1500000</v>
      </c>
      <c r="D17" s="452">
        <f>SUM(E18:E24)</f>
        <v>5125000</v>
      </c>
      <c r="E17" s="453"/>
      <c r="F17" s="454">
        <f>SUM(G18:G28)</f>
        <v>-3625000</v>
      </c>
      <c r="G17" s="446"/>
      <c r="H17" s="69" t="s">
        <v>89</v>
      </c>
    </row>
    <row r="18" spans="2:15" ht="17.25" hidden="1" thickBot="1" x14ac:dyDescent="0.35">
      <c r="B18" s="55" t="s">
        <v>53</v>
      </c>
      <c r="C18" s="56">
        <f>C19+C20+C21</f>
        <v>34500000</v>
      </c>
      <c r="D18" s="17" t="s">
        <v>39</v>
      </c>
      <c r="E18" s="1">
        <v>1690000</v>
      </c>
      <c r="F18" s="156" t="s">
        <v>40</v>
      </c>
      <c r="G18" s="54">
        <v>-700000</v>
      </c>
      <c r="H18" s="103" t="s">
        <v>118</v>
      </c>
    </row>
    <row r="19" spans="2:15" ht="17.25" hidden="1" thickBot="1" x14ac:dyDescent="0.35">
      <c r="B19" s="57" t="s">
        <v>56</v>
      </c>
      <c r="C19" s="57">
        <f>-3000000+4000000</f>
        <v>1000000</v>
      </c>
      <c r="D19" s="17" t="s">
        <v>41</v>
      </c>
      <c r="E19" s="1">
        <v>0</v>
      </c>
      <c r="F19" s="17" t="s">
        <v>42</v>
      </c>
      <c r="G19" s="1">
        <v>-400000</v>
      </c>
    </row>
    <row r="20" spans="2:15" ht="17.25" hidden="1" thickBot="1" x14ac:dyDescent="0.35">
      <c r="B20" s="57" t="s">
        <v>57</v>
      </c>
      <c r="C20" s="60">
        <f>현자산!E14</f>
        <v>18500000</v>
      </c>
      <c r="D20" s="111" t="s">
        <v>54</v>
      </c>
      <c r="E20" s="102"/>
      <c r="F20" s="17" t="s">
        <v>98</v>
      </c>
      <c r="G20" s="1">
        <v>-100000</v>
      </c>
      <c r="H20" s="50" t="s">
        <v>55</v>
      </c>
    </row>
    <row r="21" spans="2:15" ht="17.25" hidden="1" thickBot="1" x14ac:dyDescent="0.35">
      <c r="B21" s="57" t="s">
        <v>58</v>
      </c>
      <c r="C21" s="57">
        <v>15000000</v>
      </c>
      <c r="D21" s="117" t="s">
        <v>96</v>
      </c>
      <c r="E21" s="104">
        <v>300000</v>
      </c>
      <c r="F21" s="135" t="s">
        <v>48</v>
      </c>
      <c r="G21" s="68">
        <f>-ROUND((113000000*0.0425/12)+120000,-3)</f>
        <v>-520000</v>
      </c>
    </row>
    <row r="22" spans="2:15" ht="17.25" hidden="1" thickBot="1" x14ac:dyDescent="0.35">
      <c r="B22" s="65" t="s">
        <v>90</v>
      </c>
      <c r="C22" s="65">
        <v>-50000000</v>
      </c>
      <c r="D22" s="117" t="s">
        <v>97</v>
      </c>
      <c r="E22" s="104"/>
      <c r="F22" s="58" t="s">
        <v>104</v>
      </c>
      <c r="G22" s="59">
        <f>-400000-210000-200000</f>
        <v>-810000</v>
      </c>
      <c r="H22" s="50" t="s">
        <v>102</v>
      </c>
    </row>
    <row r="23" spans="2:15" ht="17.25" hidden="1" thickBot="1" x14ac:dyDescent="0.35">
      <c r="B23" s="65" t="s">
        <v>91</v>
      </c>
      <c r="C23" s="65">
        <v>-2400000</v>
      </c>
      <c r="D23" s="61" t="s">
        <v>43</v>
      </c>
      <c r="E23" s="62">
        <v>0</v>
      </c>
      <c r="F23" s="17" t="s">
        <v>94</v>
      </c>
      <c r="G23" s="1">
        <v>-100000</v>
      </c>
    </row>
    <row r="24" spans="2:15" ht="17.25" hidden="1" thickBot="1" x14ac:dyDescent="0.35">
      <c r="B24" s="71" t="s">
        <v>62</v>
      </c>
      <c r="C24" s="72">
        <f>9370000</f>
        <v>9370000</v>
      </c>
      <c r="D24" s="63" t="s">
        <v>59</v>
      </c>
      <c r="E24" s="64">
        <f>(-F17+C17-SUM(E18:E23))</f>
        <v>3135000</v>
      </c>
      <c r="F24" s="17" t="s">
        <v>95</v>
      </c>
      <c r="G24" s="1">
        <f>-600000/3</f>
        <v>-200000</v>
      </c>
    </row>
    <row r="25" spans="2:15" ht="17.25" hidden="1" thickBot="1" x14ac:dyDescent="0.35">
      <c r="B25" s="17" t="s">
        <v>59</v>
      </c>
      <c r="C25" s="17">
        <f>-E24*4</f>
        <v>-12540000</v>
      </c>
      <c r="F25" s="135" t="s">
        <v>49</v>
      </c>
      <c r="G25" s="68">
        <f>-ROUND(C24*0.04/12,-3)</f>
        <v>-31000</v>
      </c>
      <c r="H25" s="69" t="s">
        <v>61</v>
      </c>
    </row>
    <row r="26" spans="2:15" ht="17.25" hidden="1" thickBot="1" x14ac:dyDescent="0.35">
      <c r="B26" s="55" t="s">
        <v>66</v>
      </c>
      <c r="C26" s="76">
        <f>C18+C24+C25+E28</f>
        <v>19930000</v>
      </c>
      <c r="D26" s="66" t="s">
        <v>60</v>
      </c>
      <c r="E26" s="67">
        <v>29400000</v>
      </c>
      <c r="F26" s="127" t="s">
        <v>93</v>
      </c>
      <c r="G26" s="128">
        <v>-500000</v>
      </c>
      <c r="H26" s="103"/>
    </row>
    <row r="27" spans="2:15" ht="17.25" hidden="1" thickBot="1" x14ac:dyDescent="0.35">
      <c r="D27" s="112">
        <v>46104</v>
      </c>
      <c r="E27" s="70">
        <v>18000000</v>
      </c>
      <c r="F27" s="118" t="s">
        <v>50</v>
      </c>
      <c r="G27" s="119">
        <f>-114000</f>
        <v>-114000</v>
      </c>
      <c r="H27" s="50" t="s">
        <v>63</v>
      </c>
    </row>
    <row r="28" spans="2:15" ht="18" hidden="1" thickTop="1" thickBot="1" x14ac:dyDescent="0.35">
      <c r="D28" s="59"/>
      <c r="E28" s="73">
        <f>E27-E26</f>
        <v>-11400000</v>
      </c>
      <c r="F28" s="118" t="s">
        <v>64</v>
      </c>
      <c r="G28" s="119">
        <f>-(150000*12)/12</f>
        <v>-150000</v>
      </c>
      <c r="H28" s="50" t="s">
        <v>65</v>
      </c>
    </row>
    <row r="29" spans="2:15" ht="17.25" hidden="1" thickBot="1" x14ac:dyDescent="0.35">
      <c r="B29" s="55"/>
      <c r="C29" s="55"/>
      <c r="D29" s="114"/>
      <c r="E29" s="77"/>
      <c r="F29" s="77"/>
      <c r="G29" s="78"/>
      <c r="H29" s="79" t="s">
        <v>67</v>
      </c>
    </row>
    <row r="30" spans="2:15" ht="17.25" hidden="1" thickBot="1" x14ac:dyDescent="0.35">
      <c r="B30" s="55"/>
      <c r="C30" s="55"/>
      <c r="D30" s="114"/>
      <c r="E30" s="77"/>
    </row>
    <row r="31" spans="2:15" ht="19.5" thickTop="1" thickBot="1" x14ac:dyDescent="0.35">
      <c r="B31" s="83" t="s">
        <v>105</v>
      </c>
      <c r="C31" s="84"/>
      <c r="E31" s="84"/>
      <c r="F31" s="84"/>
      <c r="G31" s="223" t="s">
        <v>265</v>
      </c>
      <c r="H31" s="220" t="s">
        <v>209</v>
      </c>
      <c r="I31" s="221"/>
      <c r="J31" s="221"/>
      <c r="K31" s="222"/>
      <c r="M31" s="282" t="s">
        <v>322</v>
      </c>
      <c r="N31" s="284"/>
      <c r="O31" s="284"/>
    </row>
    <row r="32" spans="2:15" ht="17.25" thickTop="1" x14ac:dyDescent="0.3">
      <c r="B32" s="455" t="s">
        <v>238</v>
      </c>
      <c r="C32" s="456"/>
      <c r="D32" s="457" t="s">
        <v>239</v>
      </c>
      <c r="E32" s="458"/>
      <c r="F32" s="11" t="s">
        <v>68</v>
      </c>
      <c r="G32" s="49" t="s">
        <v>69</v>
      </c>
      <c r="H32" s="50" t="s">
        <v>255</v>
      </c>
      <c r="I32" s="85"/>
      <c r="K32" s="85"/>
      <c r="M32" s="283" t="s">
        <v>325</v>
      </c>
      <c r="N32" s="284"/>
      <c r="O32" s="284"/>
    </row>
    <row r="33" spans="2:15" x14ac:dyDescent="0.3">
      <c r="B33" s="455">
        <f>ROUND(2203450*1,-4)</f>
        <v>2200000</v>
      </c>
      <c r="C33" s="456"/>
      <c r="D33" s="457">
        <f>ROUND(1542420*1,-4)</f>
        <v>1540000</v>
      </c>
      <c r="E33" s="458"/>
      <c r="F33" s="86">
        <v>685000000</v>
      </c>
      <c r="G33" s="49" t="s">
        <v>70</v>
      </c>
      <c r="H33" s="20" t="s">
        <v>254</v>
      </c>
      <c r="I33" s="69"/>
      <c r="J33" s="85"/>
      <c r="K33" s="85"/>
      <c r="M33" s="283" t="s">
        <v>324</v>
      </c>
      <c r="N33" s="284"/>
      <c r="O33" s="284"/>
    </row>
    <row r="34" spans="2:15" x14ac:dyDescent="0.3">
      <c r="C34" s="136"/>
      <c r="D34" s="136"/>
      <c r="E34" s="136"/>
      <c r="I34" s="226"/>
      <c r="J34" s="69"/>
      <c r="K34" s="85"/>
    </row>
    <row r="35" spans="2:15" x14ac:dyDescent="0.25">
      <c r="B35" s="47" t="s">
        <v>228</v>
      </c>
      <c r="G35" s="48" t="s">
        <v>182</v>
      </c>
      <c r="H35" s="227" t="s">
        <v>211</v>
      </c>
    </row>
    <row r="36" spans="2:15" x14ac:dyDescent="0.3">
      <c r="B36" s="9" t="s">
        <v>34</v>
      </c>
      <c r="C36" s="10" t="s">
        <v>35</v>
      </c>
      <c r="D36" s="452" t="s">
        <v>36</v>
      </c>
      <c r="E36" s="453"/>
      <c r="F36" s="454" t="s">
        <v>37</v>
      </c>
      <c r="G36" s="446"/>
      <c r="H36" s="20" t="s">
        <v>222</v>
      </c>
    </row>
    <row r="37" spans="2:15" x14ac:dyDescent="0.3">
      <c r="B37" s="9"/>
      <c r="C37" s="130">
        <f>C17-300000</f>
        <v>1200000</v>
      </c>
      <c r="D37" s="452">
        <f>SUM(E38:E44)</f>
        <v>5075500</v>
      </c>
      <c r="E37" s="453"/>
      <c r="F37" s="454">
        <f>SUM(G38:G49)</f>
        <v>-3875500</v>
      </c>
      <c r="G37" s="446"/>
      <c r="H37" s="69" t="s">
        <v>297</v>
      </c>
    </row>
    <row r="38" spans="2:15" ht="17.25" thickBot="1" x14ac:dyDescent="0.35">
      <c r="B38" s="55" t="s">
        <v>53</v>
      </c>
      <c r="C38" s="56">
        <f>C26+C39+(300000*2+140000)</f>
        <v>20670000</v>
      </c>
      <c r="D38" s="17" t="s">
        <v>39</v>
      </c>
      <c r="E38" s="1">
        <f>ROUND(E18*1,-4)</f>
        <v>1690000</v>
      </c>
      <c r="F38" s="156" t="s">
        <v>130</v>
      </c>
      <c r="G38" s="54">
        <v>-650000</v>
      </c>
      <c r="H38" s="69" t="s">
        <v>274</v>
      </c>
      <c r="I38" s="17"/>
      <c r="J38" s="133"/>
    </row>
    <row r="39" spans="2:15" ht="17.25" thickBot="1" x14ac:dyDescent="0.35">
      <c r="B39" s="149" t="s">
        <v>110</v>
      </c>
      <c r="C39" s="150"/>
      <c r="D39" s="107" t="s">
        <v>71</v>
      </c>
      <c r="E39" s="59">
        <f>B33</f>
        <v>2200000</v>
      </c>
      <c r="F39" s="58" t="s">
        <v>42</v>
      </c>
      <c r="G39" s="59">
        <f>-400000</f>
        <v>-400000</v>
      </c>
    </row>
    <row r="40" spans="2:15" x14ac:dyDescent="0.3">
      <c r="B40" s="216" t="s">
        <v>277</v>
      </c>
      <c r="C40" s="256">
        <f>ROUND(-(230000+1500000)-1170000-(3100000-1000000),-4)</f>
        <v>-5000000</v>
      </c>
      <c r="D40" s="137" t="s">
        <v>54</v>
      </c>
      <c r="E40" s="71">
        <f>ROUND(349700*(1+0.5)*0.8+(12000*2)*11/12,0)</f>
        <v>441640</v>
      </c>
      <c r="F40" s="58" t="s">
        <v>98</v>
      </c>
      <c r="G40" s="59">
        <f>-55000-32000-34000-5500-24000</f>
        <v>-150500</v>
      </c>
      <c r="H40" s="88" t="s">
        <v>416</v>
      </c>
      <c r="I40" s="58"/>
      <c r="J40" s="59"/>
    </row>
    <row r="41" spans="2:15" x14ac:dyDescent="0.3">
      <c r="B41" s="148" t="s">
        <v>99</v>
      </c>
      <c r="C41" s="148"/>
      <c r="D41" s="120" t="s">
        <v>101</v>
      </c>
      <c r="E41" s="169">
        <f>ROUND((500000*12+700000)/12,-3)</f>
        <v>558000</v>
      </c>
      <c r="F41" s="135" t="s">
        <v>48</v>
      </c>
      <c r="G41" s="68">
        <f>-ROUND(((115640000+0)*0.0412/12)+120000,-3)</f>
        <v>-517000</v>
      </c>
      <c r="H41" s="280" t="s">
        <v>321</v>
      </c>
      <c r="I41" s="17"/>
    </row>
    <row r="42" spans="2:15" ht="17.25" thickBot="1" x14ac:dyDescent="0.35">
      <c r="B42" s="148" t="s">
        <v>100</v>
      </c>
      <c r="C42" s="148">
        <v>-3000000</v>
      </c>
      <c r="D42" s="117" t="s">
        <v>92</v>
      </c>
      <c r="E42" s="121">
        <v>300000</v>
      </c>
      <c r="F42" s="58" t="s">
        <v>46</v>
      </c>
      <c r="G42" s="59">
        <f>ROUND(-165000-207000-30000-19900-(54000*3/12),-3)</f>
        <v>-435000</v>
      </c>
      <c r="H42" s="50" t="s">
        <v>342</v>
      </c>
      <c r="I42" s="58"/>
      <c r="J42" s="59"/>
    </row>
    <row r="43" spans="2:15" ht="17.25" thickBot="1" x14ac:dyDescent="0.35">
      <c r="B43" s="258" t="s">
        <v>62</v>
      </c>
      <c r="C43" s="259"/>
      <c r="D43" s="61" t="s">
        <v>43</v>
      </c>
      <c r="E43" s="62">
        <v>0</v>
      </c>
      <c r="F43" s="55" t="s">
        <v>47</v>
      </c>
      <c r="G43" s="13">
        <f>ROUND(-300000-(600000+360000+100000+250000)/12,-3)</f>
        <v>-409000</v>
      </c>
      <c r="H43" s="50" t="s">
        <v>272</v>
      </c>
      <c r="I43" s="17"/>
    </row>
    <row r="44" spans="2:15" ht="17.25" thickBot="1" x14ac:dyDescent="0.35">
      <c r="B44" s="58" t="s">
        <v>73</v>
      </c>
      <c r="C44" s="59">
        <f>-E44*12</f>
        <v>1369680</v>
      </c>
      <c r="D44" s="80" t="s">
        <v>59</v>
      </c>
      <c r="E44" s="81">
        <f>(-F37+C37-SUM(E38:E43))</f>
        <v>-114140</v>
      </c>
      <c r="F44" s="55" t="s">
        <v>112</v>
      </c>
      <c r="G44" s="47">
        <f>-ROUND(1000000/12,-3)-ROUND(1200000/12,-3)-ROUND(600000/12,-3)</f>
        <v>-233000</v>
      </c>
      <c r="H44" s="235" t="s">
        <v>268</v>
      </c>
      <c r="J44" s="132"/>
    </row>
    <row r="45" spans="2:15" ht="17.25" thickBot="1" x14ac:dyDescent="0.35">
      <c r="B45" s="260" t="s">
        <v>66</v>
      </c>
      <c r="C45" s="261">
        <f>C38+C40+C41+C42+C43+C44</f>
        <v>14039680</v>
      </c>
      <c r="E45" s="131"/>
      <c r="F45" s="135" t="s">
        <v>49</v>
      </c>
      <c r="G45" s="82">
        <f>-ROUND((C24*0.04/12)+(C43*0.05/12*0.4),-3)</f>
        <v>-31000</v>
      </c>
      <c r="H45" s="88"/>
      <c r="I45" s="134"/>
      <c r="J45" s="47"/>
    </row>
    <row r="46" spans="2:15" x14ac:dyDescent="0.3">
      <c r="B46" s="55" t="s">
        <v>138</v>
      </c>
      <c r="C46" s="56">
        <f>ROUND(현자산!G$19*0.85,-3)</f>
        <v>190755000</v>
      </c>
      <c r="F46" s="127" t="s">
        <v>270</v>
      </c>
      <c r="G46" s="128">
        <f>-500000-ROUND(1400000/12,-4)-(20000+30000)</f>
        <v>-670000</v>
      </c>
      <c r="H46" s="20" t="s">
        <v>374</v>
      </c>
      <c r="I46" s="17"/>
    </row>
    <row r="47" spans="2:15" ht="17.25" thickBot="1" x14ac:dyDescent="0.35">
      <c r="B47" s="55" t="s">
        <v>264</v>
      </c>
      <c r="C47" s="56">
        <f>ROUND((700000000-'보증잔액 Table'!J4),-3)+C$85</f>
        <v>801075000</v>
      </c>
      <c r="F47" s="135" t="s">
        <v>50</v>
      </c>
      <c r="G47" s="68">
        <v>-120000</v>
      </c>
      <c r="H47" s="116" t="s">
        <v>106</v>
      </c>
      <c r="I47" s="77"/>
      <c r="J47" s="78"/>
    </row>
    <row r="48" spans="2:15" ht="17.25" thickBot="1" x14ac:dyDescent="0.35">
      <c r="B48" s="250" t="s">
        <v>139</v>
      </c>
      <c r="C48" s="172">
        <f>SUM(C45:C47)</f>
        <v>1005869680</v>
      </c>
      <c r="D48" s="253" t="s">
        <v>269</v>
      </c>
      <c r="E48" s="131"/>
      <c r="F48" s="74" t="s">
        <v>275</v>
      </c>
      <c r="G48" s="75">
        <f>-ROUND((102770+84080+83070)/12,-3)-ROUND(50000*9/12,-3)</f>
        <v>-60000</v>
      </c>
      <c r="H48" s="116" t="s">
        <v>107</v>
      </c>
      <c r="I48" s="77"/>
      <c r="J48" s="78"/>
    </row>
    <row r="49" spans="2:10" ht="17.25" thickBot="1" x14ac:dyDescent="0.35">
      <c r="B49" s="213" t="s">
        <v>202</v>
      </c>
      <c r="C49" s="214">
        <f>ROUND(1500000*12,-3)+C48</f>
        <v>1023869680</v>
      </c>
      <c r="F49" s="146" t="s">
        <v>113</v>
      </c>
      <c r="G49" s="147">
        <f>-600000*4/12</f>
        <v>-200000</v>
      </c>
      <c r="H49" s="20" t="s">
        <v>257</v>
      </c>
      <c r="I49" s="77"/>
      <c r="J49" s="78"/>
    </row>
    <row r="50" spans="2:10" x14ac:dyDescent="0.3">
      <c r="I50" s="77"/>
      <c r="J50" s="78"/>
    </row>
    <row r="51" spans="2:10" x14ac:dyDescent="0.25">
      <c r="B51" s="47" t="s">
        <v>229</v>
      </c>
      <c r="G51" s="48" t="s">
        <v>182</v>
      </c>
      <c r="H51" s="145" t="s">
        <v>183</v>
      </c>
    </row>
    <row r="52" spans="2:10" x14ac:dyDescent="0.3">
      <c r="B52" s="9" t="s">
        <v>34</v>
      </c>
      <c r="C52" s="10" t="s">
        <v>35</v>
      </c>
      <c r="D52" s="452" t="s">
        <v>36</v>
      </c>
      <c r="E52" s="453"/>
      <c r="F52" s="454" t="s">
        <v>37</v>
      </c>
      <c r="G52" s="446"/>
      <c r="H52" s="20" t="s">
        <v>222</v>
      </c>
    </row>
    <row r="53" spans="2:10" x14ac:dyDescent="0.3">
      <c r="B53" s="9"/>
      <c r="C53" s="130">
        <f>C37</f>
        <v>1200000</v>
      </c>
      <c r="D53" s="452">
        <f>SUM(E54:E60)</f>
        <v>5036400</v>
      </c>
      <c r="E53" s="453"/>
      <c r="F53" s="454">
        <f>SUM(G54:G65)</f>
        <v>-3836400</v>
      </c>
      <c r="G53" s="446"/>
      <c r="H53" s="69" t="s">
        <v>223</v>
      </c>
    </row>
    <row r="54" spans="2:10" ht="17.25" thickBot="1" x14ac:dyDescent="0.35">
      <c r="B54" s="55" t="s">
        <v>53</v>
      </c>
      <c r="C54" s="56">
        <f>C45</f>
        <v>14039680</v>
      </c>
      <c r="D54" s="17" t="s">
        <v>39</v>
      </c>
      <c r="E54" s="1">
        <f>ROUND(E38*1.03,-3)</f>
        <v>1741000</v>
      </c>
      <c r="F54" s="156" t="s">
        <v>130</v>
      </c>
      <c r="G54" s="54">
        <v>-650000</v>
      </c>
      <c r="H54" s="275" t="s">
        <v>296</v>
      </c>
      <c r="I54" s="17"/>
      <c r="J54" s="133"/>
    </row>
    <row r="55" spans="2:10" ht="17.25" thickBot="1" x14ac:dyDescent="0.35">
      <c r="B55" s="149" t="s">
        <v>110</v>
      </c>
      <c r="C55" s="150"/>
      <c r="D55" s="107" t="s">
        <v>71</v>
      </c>
      <c r="E55" s="59">
        <f>B33</f>
        <v>2200000</v>
      </c>
      <c r="F55" s="58" t="s">
        <v>42</v>
      </c>
      <c r="G55" s="59">
        <f>-400000</f>
        <v>-400000</v>
      </c>
    </row>
    <row r="56" spans="2:10" x14ac:dyDescent="0.3">
      <c r="B56" s="141" t="s">
        <v>72</v>
      </c>
      <c r="C56" s="113"/>
      <c r="D56" s="137" t="s">
        <v>54</v>
      </c>
      <c r="E56" s="71">
        <f>ROUND(349700*(1+0.5)*0.85,-4)+(12000*2)</f>
        <v>474000</v>
      </c>
      <c r="F56" s="58" t="s">
        <v>98</v>
      </c>
      <c r="G56" s="59">
        <f>-55000-32000-34000-5500-24000</f>
        <v>-150500</v>
      </c>
      <c r="H56" s="88" t="s">
        <v>416</v>
      </c>
      <c r="I56" s="58"/>
      <c r="J56" s="59"/>
    </row>
    <row r="57" spans="2:10" x14ac:dyDescent="0.3">
      <c r="B57" s="148" t="s">
        <v>99</v>
      </c>
      <c r="C57" s="148"/>
      <c r="D57" s="120" t="s">
        <v>101</v>
      </c>
      <c r="E57" s="169">
        <v>500000</v>
      </c>
      <c r="F57" s="135" t="s">
        <v>48</v>
      </c>
      <c r="G57" s="68">
        <f>-ROUND(((115640000+C42+C58/2)*0.0412/12)+120000,-3)</f>
        <v>-496000</v>
      </c>
      <c r="I57" s="17"/>
    </row>
    <row r="58" spans="2:10" ht="17.25" thickBot="1" x14ac:dyDescent="0.35">
      <c r="B58" s="148" t="s">
        <v>100</v>
      </c>
      <c r="C58" s="148">
        <v>-6000000</v>
      </c>
      <c r="D58" s="129" t="s">
        <v>92</v>
      </c>
      <c r="E58" s="121">
        <v>300000</v>
      </c>
      <c r="F58" s="58" t="s">
        <v>46</v>
      </c>
      <c r="G58" s="59">
        <f>-165000-207000-30000-19900</f>
        <v>-421900</v>
      </c>
      <c r="H58" s="50" t="s">
        <v>343</v>
      </c>
      <c r="I58" s="58"/>
      <c r="J58" s="59"/>
    </row>
    <row r="59" spans="2:10" ht="17.25" thickBot="1" x14ac:dyDescent="0.35">
      <c r="B59" s="258" t="s">
        <v>62</v>
      </c>
      <c r="C59" s="259"/>
      <c r="D59" s="257" t="s">
        <v>43</v>
      </c>
      <c r="E59" s="62">
        <v>0</v>
      </c>
      <c r="F59" s="55" t="s">
        <v>47</v>
      </c>
      <c r="G59" s="13">
        <f>ROUND(-300000-(600000+360000+100000+250000)/12,-3)</f>
        <v>-409000</v>
      </c>
      <c r="H59" s="50" t="s">
        <v>272</v>
      </c>
      <c r="I59" s="17"/>
    </row>
    <row r="60" spans="2:10" ht="17.25" thickBot="1" x14ac:dyDescent="0.35">
      <c r="B60" s="58" t="s">
        <v>73</v>
      </c>
      <c r="C60" s="59">
        <f>-E60*24</f>
        <v>4286400</v>
      </c>
      <c r="D60" s="80" t="s">
        <v>59</v>
      </c>
      <c r="E60" s="81">
        <f>(-F53+C53-SUM(E54:E59))</f>
        <v>-178600</v>
      </c>
      <c r="F60" s="55" t="s">
        <v>112</v>
      </c>
      <c r="G60" s="47">
        <f>-ROUND(1000000/12,-3)-ROUND(1200000/12,-3)-ROUND(600000/12,-3)</f>
        <v>-233000</v>
      </c>
      <c r="H60" s="235" t="s">
        <v>268</v>
      </c>
      <c r="J60" s="132"/>
    </row>
    <row r="61" spans="2:10" ht="17.25" thickBot="1" x14ac:dyDescent="0.35">
      <c r="B61" s="260" t="s">
        <v>66</v>
      </c>
      <c r="C61" s="261">
        <f>C54+C56+C57+C58+C59+C60</f>
        <v>12326080</v>
      </c>
      <c r="E61" s="131"/>
      <c r="F61" s="17" t="s">
        <v>49</v>
      </c>
      <c r="G61" s="82">
        <f>-ROUND((C24*0.04/12)+(C43*0.05/12)+(C59*0.055/12*0.7),-3)</f>
        <v>-31000</v>
      </c>
      <c r="H61" s="88"/>
      <c r="I61" s="134"/>
      <c r="J61" s="47"/>
    </row>
    <row r="62" spans="2:10" x14ac:dyDescent="0.3">
      <c r="B62" s="55" t="s">
        <v>138</v>
      </c>
      <c r="C62" s="56">
        <f>ROUND(현자산!G$19*0.88,-3)</f>
        <v>197488000</v>
      </c>
      <c r="F62" s="127" t="s">
        <v>270</v>
      </c>
      <c r="G62" s="128">
        <f>-500000-ROUND(1400000/12,-4)-(20000+30000)</f>
        <v>-670000</v>
      </c>
      <c r="H62" s="20" t="s">
        <v>374</v>
      </c>
      <c r="I62" s="17"/>
    </row>
    <row r="63" spans="2:10" ht="17.25" thickBot="1" x14ac:dyDescent="0.35">
      <c r="B63" s="55" t="s">
        <v>264</v>
      </c>
      <c r="C63" s="56">
        <f>ROUND((700000000-'보증잔액 Table'!J6),-3)+C$85</f>
        <v>740577000</v>
      </c>
      <c r="F63" s="135" t="s">
        <v>119</v>
      </c>
      <c r="G63" s="68">
        <v>-120000</v>
      </c>
      <c r="H63" s="116" t="s">
        <v>106</v>
      </c>
      <c r="I63" s="77"/>
      <c r="J63" s="78"/>
    </row>
    <row r="64" spans="2:10" ht="17.25" thickBot="1" x14ac:dyDescent="0.35">
      <c r="B64" s="250" t="s">
        <v>139</v>
      </c>
      <c r="C64" s="172">
        <f>SUM(C61:C63)</f>
        <v>950391080</v>
      </c>
      <c r="D64" s="253" t="s">
        <v>269</v>
      </c>
      <c r="F64" s="74" t="s">
        <v>275</v>
      </c>
      <c r="G64" s="75">
        <v>-55000</v>
      </c>
      <c r="H64" s="116" t="s">
        <v>107</v>
      </c>
      <c r="I64" s="77"/>
      <c r="J64" s="78"/>
    </row>
    <row r="65" spans="2:12" ht="17.25" thickBot="1" x14ac:dyDescent="0.35">
      <c r="B65" s="213" t="s">
        <v>202</v>
      </c>
      <c r="C65" s="214">
        <f>ROUND(1500000*(12+24)+C64,-3)</f>
        <v>1004391000</v>
      </c>
      <c r="F65" s="146" t="s">
        <v>113</v>
      </c>
      <c r="G65" s="147">
        <f>-600000*4/12</f>
        <v>-200000</v>
      </c>
      <c r="H65" s="20" t="s">
        <v>257</v>
      </c>
      <c r="I65" s="77"/>
      <c r="J65" s="78"/>
    </row>
    <row r="66" spans="2:12" x14ac:dyDescent="0.3">
      <c r="I66" s="77"/>
      <c r="J66" s="78"/>
    </row>
    <row r="67" spans="2:12" x14ac:dyDescent="0.25">
      <c r="B67" s="47" t="s">
        <v>230</v>
      </c>
      <c r="G67" s="48" t="s">
        <v>182</v>
      </c>
      <c r="H67" s="145" t="s">
        <v>183</v>
      </c>
    </row>
    <row r="68" spans="2:12" x14ac:dyDescent="0.3">
      <c r="B68" s="9" t="s">
        <v>34</v>
      </c>
      <c r="C68" s="10" t="s">
        <v>35</v>
      </c>
      <c r="D68" s="452" t="s">
        <v>36</v>
      </c>
      <c r="E68" s="453"/>
      <c r="F68" s="454" t="s">
        <v>37</v>
      </c>
      <c r="G68" s="446"/>
      <c r="H68" s="20" t="s">
        <v>222</v>
      </c>
    </row>
    <row r="69" spans="2:12" x14ac:dyDescent="0.3">
      <c r="B69" s="9"/>
      <c r="C69" s="130">
        <f>C53</f>
        <v>1200000</v>
      </c>
      <c r="D69" s="452">
        <f>SUM(E70:E76)</f>
        <v>5025500</v>
      </c>
      <c r="E69" s="453"/>
      <c r="F69" s="454">
        <f>SUM(G70:G81)</f>
        <v>-3825500</v>
      </c>
      <c r="G69" s="446"/>
      <c r="H69" s="69" t="s">
        <v>223</v>
      </c>
    </row>
    <row r="70" spans="2:12" ht="17.25" thickBot="1" x14ac:dyDescent="0.35">
      <c r="B70" s="55" t="s">
        <v>53</v>
      </c>
      <c r="C70" s="56">
        <f>C61</f>
        <v>12326080</v>
      </c>
      <c r="D70" s="17" t="s">
        <v>39</v>
      </c>
      <c r="E70" s="1">
        <f>ROUND(E54*1.03,-3)</f>
        <v>1793000</v>
      </c>
      <c r="F70" s="156" t="s">
        <v>130</v>
      </c>
      <c r="G70" s="54">
        <v>-650000</v>
      </c>
      <c r="H70" s="275" t="s">
        <v>296</v>
      </c>
      <c r="I70" s="17"/>
    </row>
    <row r="71" spans="2:12" ht="17.25" thickBot="1" x14ac:dyDescent="0.35">
      <c r="B71" s="149" t="s">
        <v>110</v>
      </c>
      <c r="C71" s="150"/>
      <c r="D71" s="107" t="s">
        <v>71</v>
      </c>
      <c r="E71" s="59">
        <f>B33</f>
        <v>2200000</v>
      </c>
      <c r="F71" s="58" t="s">
        <v>42</v>
      </c>
      <c r="G71" s="59">
        <f>-400000</f>
        <v>-400000</v>
      </c>
      <c r="I71" s="58"/>
      <c r="J71" s="59"/>
    </row>
    <row r="72" spans="2:12" x14ac:dyDescent="0.3">
      <c r="B72" s="141" t="s">
        <v>72</v>
      </c>
      <c r="C72" s="113"/>
      <c r="D72" s="137" t="s">
        <v>54</v>
      </c>
      <c r="E72" s="71">
        <f>ROUND((349700*1.02)*(1+0.5)*0.95,-4)+(12000*2)</f>
        <v>534000</v>
      </c>
      <c r="F72" s="58" t="s">
        <v>98</v>
      </c>
      <c r="G72" s="59">
        <f>-55000-32000-34000-5500-24000</f>
        <v>-150500</v>
      </c>
      <c r="H72" s="88" t="s">
        <v>416</v>
      </c>
      <c r="I72" s="58"/>
      <c r="J72" s="59"/>
    </row>
    <row r="73" spans="2:12" x14ac:dyDescent="0.3">
      <c r="B73" s="148" t="s">
        <v>99</v>
      </c>
      <c r="C73" s="148"/>
      <c r="D73" s="120" t="s">
        <v>101</v>
      </c>
      <c r="E73" s="169">
        <v>500000</v>
      </c>
      <c r="F73" s="135" t="s">
        <v>48</v>
      </c>
      <c r="G73" s="68">
        <f>-ROUND(((115640000+C42+C58+C74/2)*0.0412/12)+120000,-3)</f>
        <v>-476000</v>
      </c>
    </row>
    <row r="74" spans="2:12" ht="17.25" thickBot="1" x14ac:dyDescent="0.35">
      <c r="B74" s="148" t="s">
        <v>100</v>
      </c>
      <c r="C74" s="148">
        <v>-6000000</v>
      </c>
      <c r="D74" s="129" t="s">
        <v>92</v>
      </c>
      <c r="E74" s="121">
        <v>300000</v>
      </c>
      <c r="F74" s="58" t="s">
        <v>46</v>
      </c>
      <c r="G74" s="59">
        <f>ROUND(-165000-(207000*19+109000*5)/24-30000-19900,-3)</f>
        <v>-401000</v>
      </c>
      <c r="H74" s="50" t="s">
        <v>344</v>
      </c>
      <c r="I74" s="58"/>
      <c r="J74" s="59"/>
    </row>
    <row r="75" spans="2:12" ht="17.25" thickBot="1" x14ac:dyDescent="0.35">
      <c r="B75" s="258" t="s">
        <v>62</v>
      </c>
      <c r="C75" s="259"/>
      <c r="D75" s="61" t="s">
        <v>43</v>
      </c>
      <c r="E75" s="62">
        <v>0</v>
      </c>
      <c r="F75" s="55" t="s">
        <v>47</v>
      </c>
      <c r="G75" s="13">
        <f>ROUND(-300000-(600000+360000+100000+250000)/12,-3)</f>
        <v>-409000</v>
      </c>
      <c r="H75" s="50" t="s">
        <v>272</v>
      </c>
      <c r="I75" s="229"/>
      <c r="J75" s="230"/>
    </row>
    <row r="76" spans="2:12" ht="17.25" thickBot="1" x14ac:dyDescent="0.35">
      <c r="B76" s="58" t="s">
        <v>73</v>
      </c>
      <c r="C76" s="59">
        <f>-E76*24</f>
        <v>7236000</v>
      </c>
      <c r="D76" s="80" t="s">
        <v>59</v>
      </c>
      <c r="E76" s="81">
        <f>(-F69+C69-SUM(E70:E75))</f>
        <v>-301500</v>
      </c>
      <c r="F76" s="55" t="s">
        <v>112</v>
      </c>
      <c r="G76" s="47">
        <f>-ROUND(1000000/12,-3)-ROUND(1200000/12,-3)-ROUND(600000/12,-3)</f>
        <v>-233000</v>
      </c>
      <c r="H76" s="235" t="s">
        <v>268</v>
      </c>
      <c r="I76" s="17"/>
    </row>
    <row r="77" spans="2:12" ht="17.25" thickBot="1" x14ac:dyDescent="0.35">
      <c r="B77" s="260" t="s">
        <v>66</v>
      </c>
      <c r="C77" s="261">
        <f>C70+C72+C73+C74+C75+C76</f>
        <v>13562080</v>
      </c>
      <c r="E77" s="131"/>
      <c r="F77" s="135" t="s">
        <v>49</v>
      </c>
      <c r="G77" s="82">
        <f>-ROUND((C24*0.04/12)+(C43*0.05/12)+(C59*0.055/12)+(C75*0.055/12*0.5),-3)</f>
        <v>-31000</v>
      </c>
      <c r="H77" s="88"/>
    </row>
    <row r="78" spans="2:12" x14ac:dyDescent="0.3">
      <c r="B78" s="55" t="s">
        <v>138</v>
      </c>
      <c r="C78" s="56">
        <f>ROUND(현자산!G$19*0.92,-3)</f>
        <v>206465000</v>
      </c>
      <c r="F78" s="127" t="s">
        <v>270</v>
      </c>
      <c r="G78" s="128">
        <f>-500000-ROUND(1400000/12,-4)-(20000+30000)</f>
        <v>-670000</v>
      </c>
      <c r="H78" s="20" t="s">
        <v>374</v>
      </c>
      <c r="I78" s="134"/>
      <c r="J78" s="47"/>
      <c r="L78" s="255"/>
    </row>
    <row r="79" spans="2:12" ht="17.25" thickBot="1" x14ac:dyDescent="0.35">
      <c r="B79" s="55" t="s">
        <v>264</v>
      </c>
      <c r="C79" s="56">
        <f>ROUND((700000000-'보증잔액 Table'!J8),-3)+C$85</f>
        <v>672597000</v>
      </c>
      <c r="F79" s="135" t="s">
        <v>120</v>
      </c>
      <c r="G79" s="142">
        <v>-150000</v>
      </c>
      <c r="H79" s="116" t="s">
        <v>106</v>
      </c>
      <c r="I79" s="17"/>
    </row>
    <row r="80" spans="2:12" ht="17.25" thickBot="1" x14ac:dyDescent="0.35">
      <c r="B80" s="250" t="s">
        <v>139</v>
      </c>
      <c r="C80" s="172">
        <f>SUM(C77:C79)</f>
        <v>892624080</v>
      </c>
      <c r="D80" s="253" t="s">
        <v>269</v>
      </c>
      <c r="F80" s="74" t="s">
        <v>275</v>
      </c>
      <c r="G80" s="75">
        <v>-55000</v>
      </c>
      <c r="H80" s="116" t="s">
        <v>107</v>
      </c>
      <c r="I80" s="17"/>
    </row>
    <row r="81" spans="1:9" ht="17.25" thickBot="1" x14ac:dyDescent="0.35">
      <c r="B81" s="213" t="s">
        <v>202</v>
      </c>
      <c r="C81" s="214">
        <f>ROUND(1500000*(12+24+24)+C80,-3)</f>
        <v>982624000</v>
      </c>
      <c r="F81" s="146" t="s">
        <v>113</v>
      </c>
      <c r="G81" s="147">
        <f>-600000*4/12</f>
        <v>-200000</v>
      </c>
      <c r="H81" s="20" t="s">
        <v>257</v>
      </c>
      <c r="I81" s="17"/>
    </row>
    <row r="82" spans="1:9" x14ac:dyDescent="0.3">
      <c r="I82" s="17"/>
    </row>
    <row r="83" spans="1:9" x14ac:dyDescent="0.25">
      <c r="B83" s="125" t="s">
        <v>231</v>
      </c>
      <c r="C83" s="89"/>
      <c r="E83" s="89"/>
      <c r="F83" s="89"/>
      <c r="G83" s="160" t="s">
        <v>109</v>
      </c>
      <c r="H83" s="69" t="s">
        <v>224</v>
      </c>
    </row>
    <row r="84" spans="1:9" x14ac:dyDescent="0.3">
      <c r="B84" s="90" t="s">
        <v>75</v>
      </c>
      <c r="C84" s="11" t="s">
        <v>76</v>
      </c>
      <c r="D84" s="11" t="s">
        <v>77</v>
      </c>
      <c r="E84" s="11" t="s">
        <v>78</v>
      </c>
      <c r="F84" s="11" t="s">
        <v>141</v>
      </c>
      <c r="G84" s="91" t="s">
        <v>79</v>
      </c>
      <c r="H84" s="69" t="s">
        <v>108</v>
      </c>
    </row>
    <row r="85" spans="1:9" x14ac:dyDescent="0.3">
      <c r="B85" s="92"/>
      <c r="C85" s="10">
        <f>D85+SUM(E85:G85)</f>
        <v>135630000</v>
      </c>
      <c r="D85" s="93">
        <f>'주택연금26년_상가31년_100만(구)'!D85</f>
        <v>350000000</v>
      </c>
      <c r="E85" s="126">
        <f>-(115640000+C42+C58+C74)-E86</f>
        <v>-110010000</v>
      </c>
      <c r="F85" s="11">
        <f>-30000000-50000000-40000000</f>
        <v>-120000000</v>
      </c>
      <c r="G85" s="94">
        <f>ROUND(100000*12*10*1.1,-6)+ROUND(20000*12*10*1.1,-3)</f>
        <v>15640000</v>
      </c>
      <c r="H85" s="69" t="s">
        <v>219</v>
      </c>
    </row>
    <row r="86" spans="1:9" x14ac:dyDescent="0.3">
      <c r="A86" s="13"/>
      <c r="B86" s="13"/>
      <c r="C86" s="13"/>
      <c r="D86" s="143" t="s">
        <v>103</v>
      </c>
      <c r="E86" s="138">
        <f>SUM(C24,C41,C43,C57,C59,C73,C75)</f>
        <v>9370000</v>
      </c>
      <c r="F86" s="342" t="s">
        <v>439</v>
      </c>
      <c r="G86" s="96"/>
      <c r="H86" s="344" t="s">
        <v>440</v>
      </c>
    </row>
    <row r="87" spans="1:9" x14ac:dyDescent="0.3">
      <c r="A87" s="13"/>
      <c r="B87" s="13"/>
      <c r="C87" s="13"/>
      <c r="D87" s="143"/>
      <c r="E87" s="138"/>
      <c r="F87" s="174"/>
      <c r="G87" s="96"/>
    </row>
    <row r="88" spans="1:9" x14ac:dyDescent="0.3">
      <c r="B88" s="123" t="s">
        <v>232</v>
      </c>
      <c r="C88" s="124"/>
      <c r="G88" s="46" t="s">
        <v>74</v>
      </c>
    </row>
    <row r="89" spans="1:9" x14ac:dyDescent="0.3">
      <c r="B89" s="90" t="s">
        <v>80</v>
      </c>
      <c r="C89" s="11" t="s">
        <v>81</v>
      </c>
      <c r="D89" s="11"/>
      <c r="E89" s="11" t="s">
        <v>82</v>
      </c>
      <c r="F89" s="11"/>
      <c r="G89" s="11" t="s">
        <v>83</v>
      </c>
    </row>
    <row r="90" spans="1:9" x14ac:dyDescent="0.3">
      <c r="B90" s="92"/>
      <c r="C90" s="97">
        <f>C77+C85+E90</f>
        <v>149192080</v>
      </c>
      <c r="D90" s="98"/>
      <c r="E90" s="98">
        <v>0</v>
      </c>
      <c r="F90" s="10"/>
      <c r="G90" s="10">
        <v>0</v>
      </c>
    </row>
    <row r="91" spans="1:9" x14ac:dyDescent="0.3">
      <c r="A91" s="13"/>
      <c r="B91" s="99"/>
      <c r="C91" s="99"/>
      <c r="D91" s="99"/>
      <c r="E91" s="99"/>
      <c r="F91" s="100"/>
      <c r="G91" s="101"/>
    </row>
    <row r="92" spans="1:9" x14ac:dyDescent="0.3">
      <c r="A92" s="13"/>
      <c r="B92" s="13"/>
      <c r="C92" s="13"/>
      <c r="D92" s="13"/>
      <c r="E92" s="13"/>
      <c r="F92" s="95"/>
      <c r="G92" s="96"/>
    </row>
    <row r="93" spans="1:9" x14ac:dyDescent="0.3">
      <c r="B93" s="47" t="s">
        <v>233</v>
      </c>
      <c r="E93" s="231" t="s">
        <v>269</v>
      </c>
      <c r="F93" s="231">
        <f>ROUND(C96+C78+(700000000-'보증잔액 Table'!J8),-6)</f>
        <v>893000000</v>
      </c>
      <c r="G93" s="231">
        <f>ROUND(C101+C102+(700000000-'보증잔액 Table'!J13),-6)</f>
        <v>758000000</v>
      </c>
      <c r="H93" s="145" t="s">
        <v>221</v>
      </c>
    </row>
    <row r="94" spans="1:9" x14ac:dyDescent="0.3">
      <c r="B94" s="9" t="s">
        <v>34</v>
      </c>
      <c r="C94" s="10" t="s">
        <v>35</v>
      </c>
      <c r="D94" s="452" t="s">
        <v>36</v>
      </c>
      <c r="E94" s="453"/>
      <c r="F94" s="454" t="s">
        <v>37</v>
      </c>
      <c r="G94" s="446"/>
      <c r="H94" s="69" t="s">
        <v>117</v>
      </c>
    </row>
    <row r="95" spans="1:9" x14ac:dyDescent="0.3">
      <c r="B95" s="9"/>
      <c r="C95" s="130">
        <f>C69-0</f>
        <v>1200000</v>
      </c>
      <c r="D95" s="452">
        <f>SUM(E96:E101)</f>
        <v>3666900</v>
      </c>
      <c r="E95" s="453"/>
      <c r="F95" s="454">
        <f>SUM(G96:G104)</f>
        <v>-2466900</v>
      </c>
      <c r="G95" s="446"/>
      <c r="H95" s="69" t="s">
        <v>220</v>
      </c>
    </row>
    <row r="96" spans="1:9" ht="17.25" thickBot="1" x14ac:dyDescent="0.35">
      <c r="B96" s="55" t="s">
        <v>53</v>
      </c>
      <c r="C96" s="56">
        <f>C90</f>
        <v>149192080</v>
      </c>
      <c r="D96" s="17" t="s">
        <v>39</v>
      </c>
      <c r="E96" s="1">
        <f>ROUND(E70*1.05,-4)</f>
        <v>1880000</v>
      </c>
      <c r="F96" s="156" t="s">
        <v>130</v>
      </c>
      <c r="G96" s="54">
        <v>-650000</v>
      </c>
      <c r="H96" s="275" t="s">
        <v>296</v>
      </c>
      <c r="I96" s="17"/>
    </row>
    <row r="97" spans="2:15" ht="17.25" thickBot="1" x14ac:dyDescent="0.35">
      <c r="B97" s="157" t="s">
        <v>218</v>
      </c>
      <c r="C97" s="158">
        <v>-30000000</v>
      </c>
      <c r="D97" s="58" t="s">
        <v>71</v>
      </c>
      <c r="E97" s="59">
        <f>D33</f>
        <v>1540000</v>
      </c>
      <c r="F97" s="58" t="s">
        <v>42</v>
      </c>
      <c r="G97" s="59">
        <v>-100000</v>
      </c>
      <c r="I97" s="17"/>
      <c r="L97" s="13" t="s">
        <v>310</v>
      </c>
    </row>
    <row r="98" spans="2:15" x14ac:dyDescent="0.3">
      <c r="B98" s="58" t="s">
        <v>73</v>
      </c>
      <c r="C98" s="59">
        <f>-E101*60</f>
        <v>37641789.473684169</v>
      </c>
      <c r="D98" s="60" t="s">
        <v>54</v>
      </c>
      <c r="E98" s="71">
        <f>(E72-(12000*2))/0.95*1.025+(12000*2)</f>
        <v>574263.15789473674</v>
      </c>
      <c r="F98" s="58" t="s">
        <v>98</v>
      </c>
      <c r="G98" s="59">
        <f>-70000-(97000-38000)+29000</f>
        <v>-100000</v>
      </c>
      <c r="H98" s="69" t="s">
        <v>240</v>
      </c>
      <c r="I98" s="17"/>
      <c r="L98" s="276" t="s">
        <v>301</v>
      </c>
      <c r="M98" s="276" t="s">
        <v>302</v>
      </c>
      <c r="N98" s="276" t="s">
        <v>303</v>
      </c>
      <c r="O98" s="278" t="s">
        <v>305</v>
      </c>
    </row>
    <row r="99" spans="2:15" x14ac:dyDescent="0.3">
      <c r="B99" s="55" t="s">
        <v>66</v>
      </c>
      <c r="C99" s="56">
        <f>C96+C97+C98</f>
        <v>156833869.47368416</v>
      </c>
      <c r="D99" s="120" t="s">
        <v>101</v>
      </c>
      <c r="E99" s="87"/>
      <c r="F99" s="58" t="s">
        <v>46</v>
      </c>
      <c r="G99" s="59">
        <f>-165000-109000-30000-19900</f>
        <v>-323900</v>
      </c>
      <c r="H99" s="103" t="s">
        <v>345</v>
      </c>
      <c r="I99" s="17"/>
      <c r="L99" s="277">
        <f>2200000*12*5+1540000*12*0</f>
        <v>132000000</v>
      </c>
      <c r="M99" s="277">
        <f>-L99*0.04/12</f>
        <v>-440000</v>
      </c>
      <c r="N99" s="277">
        <f>(C96-20000000)*0.04/12</f>
        <v>430640.26666666666</v>
      </c>
      <c r="O99" s="14">
        <f>SUM(M99:N99)</f>
        <v>-9359.7333333333372</v>
      </c>
    </row>
    <row r="100" spans="2:15" ht="17.25" thickBot="1" x14ac:dyDescent="0.35">
      <c r="B100" s="17" t="s">
        <v>84</v>
      </c>
      <c r="C100" s="70">
        <f>ROUND((AVERAGE(C96,C99)-20000000)*(1+0.02)^5-(AVERAGE(C96,C99)-20000000),-4)*1</f>
        <v>13840000</v>
      </c>
      <c r="D100" s="129" t="s">
        <v>92</v>
      </c>
      <c r="E100" s="76">
        <v>300000</v>
      </c>
      <c r="F100" s="55" t="s">
        <v>112</v>
      </c>
      <c r="G100" s="47">
        <f>-ROUND(1000000/12,-3)-ROUND(1200000/12,-3)-ROUND(600000/12,-3)</f>
        <v>-233000</v>
      </c>
      <c r="H100" s="235" t="s">
        <v>268</v>
      </c>
      <c r="I100" s="17"/>
      <c r="L100" s="115" t="s">
        <v>309</v>
      </c>
    </row>
    <row r="101" spans="2:15" ht="17.25" thickBot="1" x14ac:dyDescent="0.35">
      <c r="B101" s="260" t="s">
        <v>276</v>
      </c>
      <c r="C101" s="261">
        <f>C100+C99</f>
        <v>170673869.47368416</v>
      </c>
      <c r="D101" s="80" t="s">
        <v>59</v>
      </c>
      <c r="E101" s="81">
        <f>(-F95+C95-SUM(E96:E100))</f>
        <v>-627363.15789473616</v>
      </c>
      <c r="F101" s="229" t="s">
        <v>47</v>
      </c>
      <c r="G101" s="230">
        <f>ROUND(-200000-450000/12,-4)</f>
        <v>-240000</v>
      </c>
      <c r="H101" s="50" t="s">
        <v>273</v>
      </c>
      <c r="I101" s="17"/>
      <c r="L101" s="115" t="s">
        <v>312</v>
      </c>
    </row>
    <row r="102" spans="2:15" x14ac:dyDescent="0.3">
      <c r="B102" s="55" t="s">
        <v>138</v>
      </c>
      <c r="C102" s="56">
        <f>ROUND(현자산!G$19*0.95,-3)</f>
        <v>213197000</v>
      </c>
      <c r="F102" s="127" t="s">
        <v>270</v>
      </c>
      <c r="G102" s="128">
        <f>-300000-ROUND(1400000/12,-4)-(20000+30000)</f>
        <v>-470000</v>
      </c>
      <c r="H102" s="20" t="s">
        <v>375</v>
      </c>
      <c r="I102" s="17"/>
      <c r="L102" s="279" t="s">
        <v>314</v>
      </c>
    </row>
    <row r="103" spans="2:15" ht="17.25" thickBot="1" x14ac:dyDescent="0.35">
      <c r="B103" s="55" t="s">
        <v>315</v>
      </c>
      <c r="C103" s="56">
        <f>ROUND((700000000-'보증잔액 Table'!J13),-3)</f>
        <v>374088000</v>
      </c>
      <c r="D103" s="20" t="s">
        <v>278</v>
      </c>
      <c r="F103" s="17" t="s">
        <v>50</v>
      </c>
      <c r="G103" s="1">
        <v>-150000</v>
      </c>
      <c r="I103" s="17"/>
      <c r="L103" s="115" t="s">
        <v>313</v>
      </c>
    </row>
    <row r="104" spans="2:15" ht="17.25" thickBot="1" x14ac:dyDescent="0.35">
      <c r="B104" s="250" t="s">
        <v>139</v>
      </c>
      <c r="C104" s="172">
        <f>SUM(C101:C103)</f>
        <v>757958869.47368419</v>
      </c>
      <c r="D104" s="116" t="s">
        <v>445</v>
      </c>
      <c r="F104" s="146" t="s">
        <v>113</v>
      </c>
      <c r="G104" s="147">
        <f>-600000*4/12</f>
        <v>-200000</v>
      </c>
      <c r="H104" s="20" t="s">
        <v>257</v>
      </c>
      <c r="I104" s="17"/>
    </row>
    <row r="105" spans="2:15" x14ac:dyDescent="0.3">
      <c r="B105" s="213" t="s">
        <v>202</v>
      </c>
      <c r="C105" s="214">
        <f>ROUND(1500000*(12+24+24+60)+C104,-3)</f>
        <v>937959000</v>
      </c>
      <c r="D105" s="116" t="s">
        <v>446</v>
      </c>
      <c r="I105" s="17"/>
    </row>
    <row r="106" spans="2:15" x14ac:dyDescent="0.3">
      <c r="I106" s="17"/>
    </row>
    <row r="107" spans="2:15" x14ac:dyDescent="0.3">
      <c r="B107" s="47" t="s">
        <v>234</v>
      </c>
      <c r="E107" s="231" t="s">
        <v>269</v>
      </c>
      <c r="F107" s="231">
        <f>G93</f>
        <v>758000000</v>
      </c>
      <c r="G107" s="232">
        <f>ROUND(C115+C116+(700000000-'보증잔액 Table'!J18),-6)</f>
        <v>708000000</v>
      </c>
      <c r="H107" s="145" t="s">
        <v>221</v>
      </c>
    </row>
    <row r="108" spans="2:15" x14ac:dyDescent="0.3">
      <c r="B108" s="9" t="s">
        <v>34</v>
      </c>
      <c r="C108" s="10" t="s">
        <v>35</v>
      </c>
      <c r="D108" s="452" t="s">
        <v>36</v>
      </c>
      <c r="E108" s="453"/>
      <c r="F108" s="454" t="s">
        <v>37</v>
      </c>
      <c r="G108" s="446"/>
      <c r="H108" s="69" t="s">
        <v>117</v>
      </c>
    </row>
    <row r="109" spans="2:15" x14ac:dyDescent="0.3">
      <c r="B109" s="9"/>
      <c r="C109" s="130">
        <f>C95-300000</f>
        <v>900000</v>
      </c>
      <c r="D109" s="452">
        <f>SUM(E110:E115)</f>
        <v>2964600</v>
      </c>
      <c r="E109" s="453"/>
      <c r="F109" s="454">
        <f>SUM(G110:G118)</f>
        <v>-2064600</v>
      </c>
      <c r="G109" s="446"/>
      <c r="H109" s="69" t="s">
        <v>220</v>
      </c>
    </row>
    <row r="110" spans="2:15" ht="17.25" thickBot="1" x14ac:dyDescent="0.35">
      <c r="B110" s="55" t="s">
        <v>53</v>
      </c>
      <c r="C110" s="56">
        <f>C101</f>
        <v>170673869.47368416</v>
      </c>
      <c r="D110" s="17" t="s">
        <v>39</v>
      </c>
      <c r="E110" s="1">
        <f>ROUND(E96*1.05,-4)</f>
        <v>1970000</v>
      </c>
      <c r="F110" s="156" t="s">
        <v>130</v>
      </c>
      <c r="G110" s="54">
        <v>-650000</v>
      </c>
      <c r="H110" s="275" t="s">
        <v>296</v>
      </c>
    </row>
    <row r="111" spans="2:15" ht="17.25" thickBot="1" x14ac:dyDescent="0.35">
      <c r="B111" s="170" t="s">
        <v>121</v>
      </c>
      <c r="C111" s="171"/>
      <c r="D111" s="58" t="s">
        <v>71</v>
      </c>
      <c r="E111" s="59">
        <f>D33</f>
        <v>1540000</v>
      </c>
      <c r="F111" s="58" t="s">
        <v>42</v>
      </c>
      <c r="G111" s="59">
        <v>-100000</v>
      </c>
      <c r="L111" s="13" t="s">
        <v>304</v>
      </c>
    </row>
    <row r="112" spans="2:15" x14ac:dyDescent="0.3">
      <c r="B112" s="58" t="s">
        <v>73</v>
      </c>
      <c r="C112" s="59">
        <f>-E115*60</f>
        <v>86005184.210526317</v>
      </c>
      <c r="D112" s="60" t="s">
        <v>54</v>
      </c>
      <c r="E112" s="71">
        <f>(E98-(12000*2))*1.025+(12000*2)</f>
        <v>588019.73684210517</v>
      </c>
      <c r="F112" s="58" t="s">
        <v>98</v>
      </c>
      <c r="G112" s="59">
        <f>-70000-(97000-38000)+29000</f>
        <v>-100000</v>
      </c>
      <c r="H112" s="69" t="s">
        <v>240</v>
      </c>
      <c r="L112" s="276" t="s">
        <v>301</v>
      </c>
      <c r="M112" s="276" t="s">
        <v>302</v>
      </c>
      <c r="N112" s="276" t="s">
        <v>303</v>
      </c>
      <c r="O112" s="278" t="s">
        <v>305</v>
      </c>
    </row>
    <row r="113" spans="2:15" x14ac:dyDescent="0.3">
      <c r="B113" s="55" t="s">
        <v>66</v>
      </c>
      <c r="C113" s="56">
        <f>C110+C111+C112</f>
        <v>256679053.68421048</v>
      </c>
      <c r="D113" s="120" t="s">
        <v>101</v>
      </c>
      <c r="E113" s="87"/>
      <c r="F113" s="58" t="s">
        <v>46</v>
      </c>
      <c r="G113" s="59">
        <f>-165000-109000-20600</f>
        <v>-294600</v>
      </c>
      <c r="H113" s="275" t="s">
        <v>346</v>
      </c>
      <c r="L113" s="277">
        <f>2200000*12*5+1540000*12*5</f>
        <v>224400000</v>
      </c>
      <c r="M113" s="277">
        <f>-L113*0.04/12</f>
        <v>-748000</v>
      </c>
      <c r="N113" s="277">
        <f>(C110-20000000)*0.04/12</f>
        <v>502246.23157894722</v>
      </c>
      <c r="O113" s="14">
        <f>SUM(M113:N113)</f>
        <v>-245753.76842105278</v>
      </c>
    </row>
    <row r="114" spans="2:15" ht="17.25" thickBot="1" x14ac:dyDescent="0.35">
      <c r="B114" s="17" t="s">
        <v>84</v>
      </c>
      <c r="C114" s="70">
        <f>ROUND((AVERAGE(C110,C113)-20000000)*(1+0.02)^5-(AVERAGE(C110,C113)-20000000),-4)*1</f>
        <v>20160000</v>
      </c>
      <c r="D114" s="129" t="s">
        <v>92</v>
      </c>
      <c r="E114" s="76">
        <v>300000</v>
      </c>
      <c r="F114" s="17" t="s">
        <v>112</v>
      </c>
      <c r="H114" s="20" t="s">
        <v>341</v>
      </c>
      <c r="L114" s="115" t="s">
        <v>309</v>
      </c>
    </row>
    <row r="115" spans="2:15" ht="17.25" thickBot="1" x14ac:dyDescent="0.35">
      <c r="B115" s="260" t="s">
        <v>276</v>
      </c>
      <c r="C115" s="261">
        <f>C114+C113</f>
        <v>276839053.68421048</v>
      </c>
      <c r="D115" s="80" t="s">
        <v>59</v>
      </c>
      <c r="E115" s="81">
        <f>(-F109+C109-SUM(E110:E114))</f>
        <v>-1433419.7368421052</v>
      </c>
      <c r="F115" s="229" t="s">
        <v>47</v>
      </c>
      <c r="G115" s="230">
        <f>-210000-40000</f>
        <v>-250000</v>
      </c>
      <c r="H115" s="50" t="s">
        <v>198</v>
      </c>
      <c r="L115" s="115" t="s">
        <v>311</v>
      </c>
    </row>
    <row r="116" spans="2:15" x14ac:dyDescent="0.3">
      <c r="B116" s="55" t="s">
        <v>138</v>
      </c>
      <c r="C116" s="56">
        <f>현자산!F19</f>
        <v>274630000</v>
      </c>
      <c r="F116" s="127" t="s">
        <v>270</v>
      </c>
      <c r="G116" s="128">
        <f>-150000-ROUND(1400000/12,-4)-(20000+30000)</f>
        <v>-320000</v>
      </c>
      <c r="H116" s="20" t="s">
        <v>376</v>
      </c>
      <c r="L116" s="115" t="s">
        <v>313</v>
      </c>
    </row>
    <row r="117" spans="2:15" ht="17.25" thickBot="1" x14ac:dyDescent="0.35">
      <c r="B117" s="55" t="s">
        <v>315</v>
      </c>
      <c r="C117" s="56">
        <f>ROUND((700000000-'보증잔액 Table'!J18),-3)</f>
        <v>156090000</v>
      </c>
      <c r="D117" s="20" t="s">
        <v>278</v>
      </c>
      <c r="F117" s="17" t="s">
        <v>50</v>
      </c>
      <c r="G117" s="1">
        <v>-150000</v>
      </c>
    </row>
    <row r="118" spans="2:15" ht="17.25" thickBot="1" x14ac:dyDescent="0.35">
      <c r="B118" s="173" t="s">
        <v>139</v>
      </c>
      <c r="C118" s="172">
        <f>SUM(C115:C117)</f>
        <v>707559053.68421054</v>
      </c>
      <c r="D118" s="116" t="s">
        <v>445</v>
      </c>
      <c r="F118" s="146" t="s">
        <v>113</v>
      </c>
      <c r="G118" s="147">
        <f>-600000*4/12</f>
        <v>-200000</v>
      </c>
      <c r="H118" s="20" t="s">
        <v>257</v>
      </c>
    </row>
    <row r="119" spans="2:15" x14ac:dyDescent="0.3">
      <c r="B119" s="213" t="s">
        <v>202</v>
      </c>
      <c r="C119" s="214">
        <f>ROUND(1500000*(12+24+24+60+60)+C118,-3)</f>
        <v>977559000</v>
      </c>
      <c r="D119" s="116" t="s">
        <v>446</v>
      </c>
    </row>
    <row r="121" spans="2:15" x14ac:dyDescent="0.3">
      <c r="B121" s="47" t="s">
        <v>235</v>
      </c>
      <c r="E121" s="231" t="s">
        <v>269</v>
      </c>
      <c r="F121" s="231">
        <f>G107</f>
        <v>708000000</v>
      </c>
      <c r="G121" s="232">
        <f>ROUND(C128+C129+(700000000-'보증잔액 Table'!J23),-6)</f>
        <v>558000000</v>
      </c>
      <c r="H121" s="233" t="s">
        <v>217</v>
      </c>
      <c r="I121" s="234"/>
    </row>
    <row r="122" spans="2:15" x14ac:dyDescent="0.3">
      <c r="B122" s="9" t="s">
        <v>34</v>
      </c>
      <c r="C122" s="10" t="s">
        <v>35</v>
      </c>
      <c r="D122" s="452" t="s">
        <v>36</v>
      </c>
      <c r="E122" s="453"/>
      <c r="F122" s="454" t="s">
        <v>37</v>
      </c>
      <c r="G122" s="446"/>
      <c r="H122" s="145" t="s">
        <v>212</v>
      </c>
    </row>
    <row r="123" spans="2:15" x14ac:dyDescent="0.3">
      <c r="B123" s="9"/>
      <c r="C123" s="130">
        <f>C109-0</f>
        <v>900000</v>
      </c>
      <c r="D123" s="452">
        <f>SUM(E124:E129)</f>
        <v>2474600</v>
      </c>
      <c r="E123" s="453"/>
      <c r="F123" s="454">
        <f>SUM(G124:G130)</f>
        <v>-1574600</v>
      </c>
      <c r="G123" s="446"/>
      <c r="H123" s="20" t="s">
        <v>213</v>
      </c>
    </row>
    <row r="124" spans="2:15" x14ac:dyDescent="0.3">
      <c r="B124" s="55" t="s">
        <v>53</v>
      </c>
      <c r="C124" s="56">
        <f>C115</f>
        <v>276839053.68421048</v>
      </c>
      <c r="D124" s="17" t="s">
        <v>39</v>
      </c>
      <c r="E124" s="1">
        <f>ROUND(E110*1.05,-4)</f>
        <v>2070000</v>
      </c>
      <c r="F124" s="156" t="s">
        <v>130</v>
      </c>
      <c r="G124" s="54">
        <v>-450000</v>
      </c>
      <c r="H124" s="69" t="s">
        <v>225</v>
      </c>
    </row>
    <row r="125" spans="2:15" x14ac:dyDescent="0.3">
      <c r="B125" s="58" t="s">
        <v>73</v>
      </c>
      <c r="C125" s="59">
        <f>-E129*60</f>
        <v>104251213.81578946</v>
      </c>
      <c r="D125" s="58" t="s">
        <v>71</v>
      </c>
      <c r="E125" s="59">
        <f>D33</f>
        <v>1540000</v>
      </c>
      <c r="F125" s="159" t="s">
        <v>42</v>
      </c>
      <c r="G125" s="102">
        <v>-100000</v>
      </c>
      <c r="H125" s="20" t="s">
        <v>117</v>
      </c>
      <c r="L125" s="13" t="s">
        <v>306</v>
      </c>
    </row>
    <row r="126" spans="2:15" x14ac:dyDescent="0.3">
      <c r="B126" s="55" t="s">
        <v>66</v>
      </c>
      <c r="C126" s="56">
        <f>C124+C125</f>
        <v>381090267.49999994</v>
      </c>
      <c r="D126" s="60" t="s">
        <v>54</v>
      </c>
      <c r="E126" s="71">
        <f>(E112-(12000*2))*1.025+(12000*2)</f>
        <v>602120.23026315775</v>
      </c>
      <c r="F126" s="58" t="s">
        <v>98</v>
      </c>
      <c r="G126" s="59">
        <f>-70000-(97000-38000)+29000</f>
        <v>-100000</v>
      </c>
      <c r="H126" s="69" t="s">
        <v>240</v>
      </c>
      <c r="L126" s="276" t="s">
        <v>301</v>
      </c>
      <c r="M126" s="276" t="s">
        <v>302</v>
      </c>
      <c r="N126" s="276" t="s">
        <v>303</v>
      </c>
      <c r="O126" s="278" t="s">
        <v>305</v>
      </c>
    </row>
    <row r="127" spans="2:15" ht="17.25" thickBot="1" x14ac:dyDescent="0.35">
      <c r="B127" s="17" t="s">
        <v>84</v>
      </c>
      <c r="C127" s="70">
        <f>ROUND((AVERAGE(C124,C126)-20000000)*(1+0.02)^5-(AVERAGE(C124,C126)-20000000),-4)*1</f>
        <v>32160000</v>
      </c>
      <c r="D127" s="120" t="s">
        <v>101</v>
      </c>
      <c r="E127" s="87"/>
      <c r="F127" s="58" t="s">
        <v>46</v>
      </c>
      <c r="G127" s="59">
        <f>-165000-109000-20600</f>
        <v>-294600</v>
      </c>
      <c r="H127" s="275" t="s">
        <v>346</v>
      </c>
      <c r="L127" s="277">
        <f>2200000*12*5+1540000*12*10</f>
        <v>316800000</v>
      </c>
      <c r="M127" s="277">
        <f>-L127*0.04/12</f>
        <v>-1056000</v>
      </c>
      <c r="N127" s="277">
        <f>(C124-20000000)*0.04/12</f>
        <v>856130.17894736829</v>
      </c>
      <c r="O127" s="14">
        <f>SUM(M127:N127)</f>
        <v>-199869.82105263171</v>
      </c>
    </row>
    <row r="128" spans="2:15" ht="17.25" thickBot="1" x14ac:dyDescent="0.35">
      <c r="B128" s="260" t="s">
        <v>276</v>
      </c>
      <c r="C128" s="261">
        <f>C127+C126</f>
        <v>413250267.49999994</v>
      </c>
      <c r="D128" s="129" t="s">
        <v>92</v>
      </c>
      <c r="E128" s="121"/>
      <c r="F128" s="228" t="s">
        <v>47</v>
      </c>
      <c r="G128" s="230">
        <f>ROUND(-200000-450000/12,-4)</f>
        <v>-240000</v>
      </c>
      <c r="H128" s="50" t="s">
        <v>273</v>
      </c>
      <c r="L128" s="115" t="s">
        <v>309</v>
      </c>
    </row>
    <row r="129" spans="1:15" ht="17.25" thickBot="1" x14ac:dyDescent="0.35">
      <c r="B129" s="55" t="s">
        <v>138</v>
      </c>
      <c r="C129" s="56">
        <f>ROUND(현자산!F19*1.02,-5)</f>
        <v>280100000</v>
      </c>
      <c r="D129" s="80" t="s">
        <v>59</v>
      </c>
      <c r="E129" s="81">
        <f>(-F123+C123-SUM(E124:E128))</f>
        <v>-1737520.2302631577</v>
      </c>
      <c r="F129" s="127" t="s">
        <v>270</v>
      </c>
      <c r="G129" s="128">
        <f>-150000-ROUND(1400000/12,-4)</f>
        <v>-270000</v>
      </c>
      <c r="H129" s="20" t="s">
        <v>271</v>
      </c>
      <c r="L129" s="115" t="s">
        <v>311</v>
      </c>
    </row>
    <row r="130" spans="1:15" ht="17.25" thickBot="1" x14ac:dyDescent="0.35">
      <c r="B130" s="55" t="s">
        <v>315</v>
      </c>
      <c r="C130" s="56">
        <f>IF(ROUND((700000000-'보증잔액 Table'!J23),-3)&lt;0,0,ROUND((700000000-'보증잔액 Table'!J23),-3))</f>
        <v>0</v>
      </c>
      <c r="D130" s="20" t="s">
        <v>278</v>
      </c>
      <c r="F130" s="17" t="s">
        <v>50</v>
      </c>
      <c r="G130" s="1">
        <v>-120000</v>
      </c>
      <c r="H130" s="20" t="s">
        <v>257</v>
      </c>
      <c r="L130" s="115" t="s">
        <v>313</v>
      </c>
    </row>
    <row r="131" spans="1:15" ht="17.25" thickBot="1" x14ac:dyDescent="0.35">
      <c r="A131" s="20"/>
      <c r="B131" s="173" t="s">
        <v>139</v>
      </c>
      <c r="C131" s="172">
        <f>SUM(C128:C130)</f>
        <v>693350267.5</v>
      </c>
      <c r="D131" s="116" t="s">
        <v>445</v>
      </c>
      <c r="F131" s="17"/>
    </row>
    <row r="132" spans="1:15" x14ac:dyDescent="0.3">
      <c r="A132" s="20"/>
      <c r="B132" s="213" t="s">
        <v>202</v>
      </c>
      <c r="C132" s="214">
        <f>ROUND(1500000*(12+24+24+60+60)+C131,-3)</f>
        <v>963350000</v>
      </c>
      <c r="D132" s="116" t="s">
        <v>446</v>
      </c>
      <c r="F132" s="17"/>
    </row>
    <row r="133" spans="1:15" x14ac:dyDescent="0.3">
      <c r="B133" s="69"/>
      <c r="C133" s="69"/>
      <c r="D133" s="69"/>
      <c r="F133" s="17"/>
    </row>
    <row r="134" spans="1:15" x14ac:dyDescent="0.3">
      <c r="B134" s="47" t="s">
        <v>236</v>
      </c>
      <c r="E134" s="231" t="s">
        <v>269</v>
      </c>
      <c r="F134" s="231">
        <f>G121</f>
        <v>558000000</v>
      </c>
      <c r="G134" s="232">
        <f>ROUND(C141+C142+(700000000-'보증잔액 Table'!J28),-6)</f>
        <v>333000000</v>
      </c>
      <c r="H134" s="233" t="s">
        <v>217</v>
      </c>
      <c r="I134" s="234"/>
    </row>
    <row r="135" spans="1:15" x14ac:dyDescent="0.3">
      <c r="B135" s="9" t="s">
        <v>34</v>
      </c>
      <c r="C135" s="10" t="s">
        <v>35</v>
      </c>
      <c r="D135" s="452" t="s">
        <v>36</v>
      </c>
      <c r="E135" s="453"/>
      <c r="F135" s="454" t="s">
        <v>37</v>
      </c>
      <c r="G135" s="446"/>
      <c r="H135" s="145" t="s">
        <v>142</v>
      </c>
    </row>
    <row r="136" spans="1:15" x14ac:dyDescent="0.3">
      <c r="B136" s="9"/>
      <c r="C136" s="130">
        <f>C123</f>
        <v>900000</v>
      </c>
      <c r="D136" s="452">
        <f>SUM(E137:E142)</f>
        <v>2474600</v>
      </c>
      <c r="E136" s="453"/>
      <c r="F136" s="454">
        <f>SUM(G137:G143)</f>
        <v>-1574600</v>
      </c>
      <c r="G136" s="446"/>
      <c r="H136" s="20" t="s">
        <v>143</v>
      </c>
    </row>
    <row r="137" spans="1:15" x14ac:dyDescent="0.3">
      <c r="B137" s="55" t="s">
        <v>53</v>
      </c>
      <c r="C137" s="56">
        <f>C128</f>
        <v>413250267.49999994</v>
      </c>
      <c r="D137" s="17" t="s">
        <v>39</v>
      </c>
      <c r="E137" s="1">
        <f>ROUND(E124*1.05,-4)</f>
        <v>2170000</v>
      </c>
      <c r="F137" s="156" t="s">
        <v>130</v>
      </c>
      <c r="G137" s="54">
        <v>-450000</v>
      </c>
      <c r="H137" s="69" t="s">
        <v>225</v>
      </c>
    </row>
    <row r="138" spans="1:15" x14ac:dyDescent="0.3">
      <c r="B138" s="58" t="s">
        <v>73</v>
      </c>
      <c r="C138" s="59">
        <f>-E142*60</f>
        <v>111118394.16118416</v>
      </c>
      <c r="D138" s="58" t="s">
        <v>71</v>
      </c>
      <c r="E138" s="59">
        <f>D33</f>
        <v>1540000</v>
      </c>
      <c r="F138" s="159" t="s">
        <v>42</v>
      </c>
      <c r="G138" s="102">
        <v>-100000</v>
      </c>
      <c r="H138" s="20" t="s">
        <v>117</v>
      </c>
      <c r="L138" s="13" t="s">
        <v>307</v>
      </c>
    </row>
    <row r="139" spans="1:15" x14ac:dyDescent="0.3">
      <c r="B139" s="55" t="s">
        <v>66</v>
      </c>
      <c r="C139" s="56">
        <f>C137+C138</f>
        <v>524368661.66118407</v>
      </c>
      <c r="D139" s="60" t="s">
        <v>54</v>
      </c>
      <c r="E139" s="71">
        <f>(E126-(12000*2))*1.025+(12000*2)</f>
        <v>616573.23601973662</v>
      </c>
      <c r="F139" s="58" t="s">
        <v>98</v>
      </c>
      <c r="G139" s="59">
        <f>-70000-(97000-38000)+29000</f>
        <v>-100000</v>
      </c>
      <c r="H139" s="69" t="s">
        <v>240</v>
      </c>
      <c r="L139" s="276" t="s">
        <v>301</v>
      </c>
      <c r="M139" s="276" t="s">
        <v>302</v>
      </c>
      <c r="N139" s="276" t="s">
        <v>303</v>
      </c>
      <c r="O139" s="278" t="s">
        <v>305</v>
      </c>
    </row>
    <row r="140" spans="1:15" ht="17.25" thickBot="1" x14ac:dyDescent="0.35">
      <c r="B140" s="17" t="s">
        <v>84</v>
      </c>
      <c r="C140" s="70">
        <f>ROUND((AVERAGE(C137,C139)-20000000)*(1+0.02)^5-(AVERAGE(C137,C139)-20000000),-4)*1</f>
        <v>46710000</v>
      </c>
      <c r="D140" s="120" t="s">
        <v>101</v>
      </c>
      <c r="E140" s="87"/>
      <c r="F140" s="58" t="s">
        <v>46</v>
      </c>
      <c r="G140" s="59">
        <f>-165000-109000-20600</f>
        <v>-294600</v>
      </c>
      <c r="H140" s="275" t="s">
        <v>346</v>
      </c>
      <c r="L140" s="277">
        <f>2200000*12*5+1540000*12*15</f>
        <v>409200000</v>
      </c>
      <c r="M140" s="277">
        <f>-L140*0.04/12</f>
        <v>-1364000</v>
      </c>
      <c r="N140" s="277">
        <f>(C137-20000000)*0.04/12</f>
        <v>1310834.2249999999</v>
      </c>
      <c r="O140" s="14">
        <f>SUM(M140:N140)</f>
        <v>-53165.77500000014</v>
      </c>
    </row>
    <row r="141" spans="1:15" ht="17.25" thickBot="1" x14ac:dyDescent="0.35">
      <c r="B141" s="260" t="s">
        <v>276</v>
      </c>
      <c r="C141" s="261">
        <f>C140+C139</f>
        <v>571078661.66118407</v>
      </c>
      <c r="D141" s="129" t="s">
        <v>92</v>
      </c>
      <c r="E141" s="121"/>
      <c r="F141" s="58" t="s">
        <v>47</v>
      </c>
      <c r="G141" s="230">
        <f>ROUND(-200000-450000/12,-4)</f>
        <v>-240000</v>
      </c>
      <c r="H141" s="50" t="s">
        <v>273</v>
      </c>
      <c r="L141" s="115" t="s">
        <v>309</v>
      </c>
    </row>
    <row r="142" spans="1:15" ht="17.25" thickBot="1" x14ac:dyDescent="0.35">
      <c r="B142" s="55" t="s">
        <v>138</v>
      </c>
      <c r="C142" s="56">
        <f>ROUND(현자산!F19*1.05,-5)</f>
        <v>288400000</v>
      </c>
      <c r="D142" s="80" t="s">
        <v>59</v>
      </c>
      <c r="E142" s="81">
        <f>(-F136+C136-SUM(E137:E141))</f>
        <v>-1851973.2360197362</v>
      </c>
      <c r="F142" s="127" t="s">
        <v>270</v>
      </c>
      <c r="G142" s="128">
        <f>-150000-ROUND(1400000/12,-4)</f>
        <v>-270000</v>
      </c>
      <c r="H142" s="20" t="s">
        <v>271</v>
      </c>
      <c r="L142" s="115" t="s">
        <v>311</v>
      </c>
    </row>
    <row r="143" spans="1:15" ht="17.25" thickBot="1" x14ac:dyDescent="0.35">
      <c r="B143" s="55" t="s">
        <v>264</v>
      </c>
      <c r="C143" s="56">
        <f>IF(ROUND((700000000-'보증잔액 Table'!J28),-3)&lt;0,0,ROUND((700000000-'보증잔액 Table'!J28),-3))</f>
        <v>0</v>
      </c>
      <c r="D143" s="20" t="s">
        <v>278</v>
      </c>
      <c r="F143" s="17" t="s">
        <v>50</v>
      </c>
      <c r="G143" s="1">
        <v>-120000</v>
      </c>
      <c r="H143" s="20" t="s">
        <v>257</v>
      </c>
      <c r="L143" s="115" t="s">
        <v>313</v>
      </c>
    </row>
    <row r="144" spans="1:15" ht="17.25" thickBot="1" x14ac:dyDescent="0.35">
      <c r="A144" s="20"/>
      <c r="B144" s="173" t="s">
        <v>139</v>
      </c>
      <c r="C144" s="172">
        <f>SUM(C141:C143)</f>
        <v>859478661.66118407</v>
      </c>
      <c r="D144" s="116" t="s">
        <v>445</v>
      </c>
      <c r="F144" s="17"/>
    </row>
    <row r="145" spans="1:15" x14ac:dyDescent="0.3">
      <c r="A145" s="20"/>
      <c r="B145" s="213" t="s">
        <v>202</v>
      </c>
      <c r="C145" s="214">
        <f>ROUND(1500000*(12+24+24+60+60)+C144,-3)</f>
        <v>1129479000</v>
      </c>
      <c r="D145" s="116" t="s">
        <v>446</v>
      </c>
      <c r="F145" s="17"/>
    </row>
    <row r="146" spans="1:15" x14ac:dyDescent="0.3">
      <c r="C146" s="69"/>
      <c r="D146" s="69"/>
      <c r="F146" s="17"/>
    </row>
    <row r="147" spans="1:15" x14ac:dyDescent="0.3">
      <c r="B147" s="47" t="s">
        <v>237</v>
      </c>
      <c r="E147" s="231" t="s">
        <v>269</v>
      </c>
      <c r="F147" s="231">
        <f>G134</f>
        <v>333000000</v>
      </c>
      <c r="G147" s="232">
        <f>ROUND(C154+C155+(700000000-'보증잔액 Table'!J33),-6)</f>
        <v>-2000000</v>
      </c>
      <c r="H147" s="233" t="s">
        <v>217</v>
      </c>
      <c r="I147" s="234"/>
    </row>
    <row r="148" spans="1:15" x14ac:dyDescent="0.3">
      <c r="B148" s="9" t="s">
        <v>34</v>
      </c>
      <c r="C148" s="10" t="s">
        <v>35</v>
      </c>
      <c r="D148" s="452" t="s">
        <v>36</v>
      </c>
      <c r="E148" s="453"/>
      <c r="F148" s="454" t="s">
        <v>37</v>
      </c>
      <c r="G148" s="446"/>
      <c r="H148" s="145" t="s">
        <v>142</v>
      </c>
    </row>
    <row r="149" spans="1:15" x14ac:dyDescent="0.3">
      <c r="B149" s="9"/>
      <c r="C149" s="130">
        <f>C136</f>
        <v>900000</v>
      </c>
      <c r="D149" s="452">
        <f>SUM(E150:E155)</f>
        <v>2474600</v>
      </c>
      <c r="E149" s="453"/>
      <c r="F149" s="454">
        <f>SUM(G150:G156)</f>
        <v>-1574600</v>
      </c>
      <c r="G149" s="446"/>
      <c r="H149" s="20" t="s">
        <v>143</v>
      </c>
    </row>
    <row r="150" spans="1:15" x14ac:dyDescent="0.3">
      <c r="B150" s="55" t="s">
        <v>53</v>
      </c>
      <c r="C150" s="56">
        <f>C141</f>
        <v>571078661.66118407</v>
      </c>
      <c r="D150" s="17" t="s">
        <v>39</v>
      </c>
      <c r="E150" s="1">
        <f>ROUND(E137*1.05,-4)</f>
        <v>2280000</v>
      </c>
      <c r="F150" s="156" t="s">
        <v>130</v>
      </c>
      <c r="G150" s="54">
        <v>-450000</v>
      </c>
      <c r="H150" s="69" t="s">
        <v>225</v>
      </c>
    </row>
    <row r="151" spans="1:15" x14ac:dyDescent="0.3">
      <c r="B151" s="58" t="s">
        <v>73</v>
      </c>
      <c r="C151" s="59">
        <f>-E155*60</f>
        <v>118607254.01521382</v>
      </c>
      <c r="D151" s="58" t="s">
        <v>71</v>
      </c>
      <c r="E151" s="59">
        <f>D33</f>
        <v>1540000</v>
      </c>
      <c r="F151" s="159" t="s">
        <v>42</v>
      </c>
      <c r="G151" s="102">
        <v>-100000</v>
      </c>
      <c r="H151" s="20" t="s">
        <v>117</v>
      </c>
      <c r="L151" s="13" t="s">
        <v>308</v>
      </c>
    </row>
    <row r="152" spans="1:15" x14ac:dyDescent="0.3">
      <c r="B152" s="55" t="s">
        <v>66</v>
      </c>
      <c r="C152" s="56">
        <f>C150+C151</f>
        <v>689685915.67639792</v>
      </c>
      <c r="D152" s="60" t="s">
        <v>54</v>
      </c>
      <c r="E152" s="71">
        <f>(E139-(12000*2))*1.025+(12000*2)</f>
        <v>631387.56692022993</v>
      </c>
      <c r="F152" s="58" t="s">
        <v>98</v>
      </c>
      <c r="G152" s="59">
        <f>-70000-(97000-38000)+29000</f>
        <v>-100000</v>
      </c>
      <c r="H152" s="69" t="s">
        <v>240</v>
      </c>
      <c r="L152" s="276" t="s">
        <v>301</v>
      </c>
      <c r="M152" s="276" t="s">
        <v>302</v>
      </c>
      <c r="N152" s="276" t="s">
        <v>303</v>
      </c>
      <c r="O152" s="278" t="s">
        <v>305</v>
      </c>
    </row>
    <row r="153" spans="1:15" ht="17.25" thickBot="1" x14ac:dyDescent="0.35">
      <c r="B153" s="17" t="s">
        <v>84</v>
      </c>
      <c r="C153" s="70">
        <f>ROUND((AVERAGE(C150,C152)-20000000)*(1+0.02)^5-(AVERAGE(C150,C152)-20000000),-4)*1</f>
        <v>63530000</v>
      </c>
      <c r="D153" s="120" t="s">
        <v>101</v>
      </c>
      <c r="E153" s="87"/>
      <c r="F153" s="58" t="s">
        <v>46</v>
      </c>
      <c r="G153" s="59">
        <f>-165000-109000-20600</f>
        <v>-294600</v>
      </c>
      <c r="H153" s="275" t="s">
        <v>346</v>
      </c>
      <c r="L153" s="277">
        <f>2200000*12*5+1540000*12*20</f>
        <v>501600000</v>
      </c>
      <c r="M153" s="277">
        <f>-L153*0.04/12</f>
        <v>-1672000</v>
      </c>
      <c r="N153" s="277">
        <f>(C150-20000000)*0.04/12</f>
        <v>1836928.872203947</v>
      </c>
      <c r="O153" s="14">
        <f>SUM(M153:N153)</f>
        <v>164928.87220394704</v>
      </c>
    </row>
    <row r="154" spans="1:15" ht="17.25" thickBot="1" x14ac:dyDescent="0.35">
      <c r="B154" s="260" t="s">
        <v>276</v>
      </c>
      <c r="C154" s="261">
        <f>C153+C152</f>
        <v>753215915.67639792</v>
      </c>
      <c r="D154" s="129" t="s">
        <v>92</v>
      </c>
      <c r="E154" s="121"/>
      <c r="F154" s="228" t="s">
        <v>47</v>
      </c>
      <c r="G154" s="230">
        <f>ROUND(-200000-450000/12,-4)</f>
        <v>-240000</v>
      </c>
      <c r="H154" s="50" t="s">
        <v>273</v>
      </c>
      <c r="L154" s="115" t="s">
        <v>309</v>
      </c>
    </row>
    <row r="155" spans="1:15" ht="17.25" thickBot="1" x14ac:dyDescent="0.35">
      <c r="B155" s="55" t="s">
        <v>138</v>
      </c>
      <c r="C155" s="56">
        <f>ROUND(현자산!E19,-5)</f>
        <v>293400000</v>
      </c>
      <c r="D155" s="80" t="s">
        <v>59</v>
      </c>
      <c r="E155" s="81">
        <f>(-F149+C149-SUM(E150:E154))</f>
        <v>-1976787.5669202302</v>
      </c>
      <c r="F155" s="127" t="s">
        <v>270</v>
      </c>
      <c r="G155" s="128">
        <f>-150000-ROUND(1400000/12,-4)</f>
        <v>-270000</v>
      </c>
      <c r="H155" s="20" t="s">
        <v>271</v>
      </c>
      <c r="L155" s="115" t="s">
        <v>311</v>
      </c>
    </row>
    <row r="156" spans="1:15" ht="17.25" thickBot="1" x14ac:dyDescent="0.35">
      <c r="B156" s="55" t="s">
        <v>264</v>
      </c>
      <c r="C156" s="56">
        <f>IF(ROUND((700000000-'보증잔액 Table'!J33),-3)&lt;0,0,ROUND((700000000-'보증잔액 Table'!J33),-3))</f>
        <v>0</v>
      </c>
      <c r="D156" s="20" t="s">
        <v>278</v>
      </c>
      <c r="F156" s="17" t="s">
        <v>50</v>
      </c>
      <c r="G156" s="1">
        <v>-120000</v>
      </c>
      <c r="H156" s="20" t="s">
        <v>257</v>
      </c>
      <c r="L156" s="115" t="s">
        <v>313</v>
      </c>
    </row>
    <row r="157" spans="1:15" ht="17.25" thickBot="1" x14ac:dyDescent="0.35">
      <c r="B157" s="173" t="s">
        <v>139</v>
      </c>
      <c r="C157" s="172">
        <f>SUM(C154:C156)</f>
        <v>1046615915.6763979</v>
      </c>
      <c r="D157" s="116" t="s">
        <v>445</v>
      </c>
      <c r="F157" s="17"/>
    </row>
    <row r="158" spans="1:15" x14ac:dyDescent="0.3">
      <c r="B158" s="213" t="s">
        <v>202</v>
      </c>
      <c r="C158" s="214">
        <f>ROUND(1500000*(12+24+24+60+60)+C157,-3)</f>
        <v>1316616000</v>
      </c>
      <c r="D158" s="116" t="s">
        <v>446</v>
      </c>
      <c r="F158" s="17"/>
    </row>
    <row r="159" spans="1:15" x14ac:dyDescent="0.3">
      <c r="C159" s="17"/>
      <c r="D159" s="17"/>
      <c r="E159" s="17"/>
      <c r="F159" s="17"/>
    </row>
    <row r="160" spans="1:15" ht="17.25" thickBot="1" x14ac:dyDescent="0.35">
      <c r="C160" s="236" t="s">
        <v>226</v>
      </c>
    </row>
    <row r="161" spans="2:10" ht="18" thickTop="1" thickBot="1" x14ac:dyDescent="0.35">
      <c r="B161" s="105" t="s">
        <v>85</v>
      </c>
      <c r="C161" s="106">
        <f>SUM(C163:C165)</f>
        <v>1146615915.6763978</v>
      </c>
      <c r="D161" s="69" t="s">
        <v>207</v>
      </c>
      <c r="J161" s="133"/>
    </row>
    <row r="162" spans="2:10" ht="18" thickTop="1" thickBot="1" x14ac:dyDescent="0.35">
      <c r="B162" s="211" t="s">
        <v>201</v>
      </c>
      <c r="C162" s="212">
        <f>C161+C172</f>
        <v>1416615915.6763978</v>
      </c>
      <c r="D162" s="85" t="s">
        <v>203</v>
      </c>
      <c r="J162" s="133"/>
    </row>
    <row r="163" spans="2:10" ht="17.25" thickTop="1" x14ac:dyDescent="0.3">
      <c r="B163" s="57" t="s">
        <v>180</v>
      </c>
      <c r="C163" s="96">
        <f>현자산!E19</f>
        <v>293400000</v>
      </c>
      <c r="D163" s="69" t="s">
        <v>443</v>
      </c>
    </row>
    <row r="164" spans="2:10" x14ac:dyDescent="0.3">
      <c r="B164" s="57" t="s">
        <v>179</v>
      </c>
      <c r="C164" s="96">
        <f>C154</f>
        <v>753215915.67639792</v>
      </c>
      <c r="D164" s="69" t="s">
        <v>444</v>
      </c>
    </row>
    <row r="165" spans="2:10" x14ac:dyDescent="0.3">
      <c r="B165" s="134" t="s">
        <v>441</v>
      </c>
      <c r="C165" s="326">
        <v>100000000</v>
      </c>
      <c r="D165" s="85" t="s">
        <v>442</v>
      </c>
    </row>
    <row r="166" spans="2:10" ht="17.25" thickBot="1" x14ac:dyDescent="0.35">
      <c r="B166" s="109"/>
      <c r="C166" s="108"/>
      <c r="D166" s="85"/>
    </row>
    <row r="167" spans="2:10" ht="17.25" thickBot="1" x14ac:dyDescent="0.35">
      <c r="B167" s="153" t="s">
        <v>114</v>
      </c>
      <c r="C167" s="144">
        <f>SUM(C168:C170)</f>
        <v>1543728900.3947368</v>
      </c>
    </row>
    <row r="168" spans="2:10" x14ac:dyDescent="0.3">
      <c r="B168" s="152" t="s">
        <v>39</v>
      </c>
      <c r="C168" s="151">
        <f>(E5*1.5+E18*0.5+E38*1+E54*2+E70*2+E96*5+E110*5+E124*5+E137*5+E150*5)*12</f>
        <v>767136000</v>
      </c>
    </row>
    <row r="169" spans="2:10" x14ac:dyDescent="0.3">
      <c r="B169" s="152" t="s">
        <v>116</v>
      </c>
      <c r="C169" s="151">
        <f>E40*12+E98*120+E126*180</f>
        <v>182592900.39473683</v>
      </c>
      <c r="D169" s="1" t="s">
        <v>210</v>
      </c>
    </row>
    <row r="170" spans="2:10" ht="17.25" thickBot="1" x14ac:dyDescent="0.35">
      <c r="B170" s="224" t="s">
        <v>71</v>
      </c>
      <c r="C170" s="225">
        <f>E39*12+E55*24+E71*24+E97*60+E111*60+E125*60+E138*60+E151*60</f>
        <v>594000000</v>
      </c>
      <c r="D170" s="1" t="s">
        <v>323</v>
      </c>
    </row>
    <row r="171" spans="2:10" x14ac:dyDescent="0.3">
      <c r="B171" s="208" t="s">
        <v>263</v>
      </c>
      <c r="C171" s="209">
        <f>1500000*12*30</f>
        <v>540000000</v>
      </c>
      <c r="D171" s="1" t="s">
        <v>206</v>
      </c>
    </row>
    <row r="172" spans="2:10" ht="17.25" thickBot="1" x14ac:dyDescent="0.35">
      <c r="B172" s="224" t="s">
        <v>200</v>
      </c>
      <c r="C172" s="225">
        <f>1500000*12*15</f>
        <v>270000000</v>
      </c>
      <c r="D172" s="1" t="s">
        <v>199</v>
      </c>
    </row>
    <row r="173" spans="2:10" ht="17.25" thickBot="1" x14ac:dyDescent="0.35">
      <c r="B173" s="154" t="s">
        <v>115</v>
      </c>
      <c r="C173" s="155">
        <f>SUM(C168:C172)</f>
        <v>2353728900.3947368</v>
      </c>
      <c r="D173" s="210">
        <f>SUM(C170:C172)</f>
        <v>1404000000</v>
      </c>
      <c r="E173" s="69" t="s">
        <v>204</v>
      </c>
    </row>
    <row r="174" spans="2:10" ht="17.25" thickBot="1" x14ac:dyDescent="0.35">
      <c r="D174" s="210">
        <f>(1500000*12*15)+D173</f>
        <v>1674000000</v>
      </c>
      <c r="E174" s="69" t="s">
        <v>316</v>
      </c>
    </row>
    <row r="175" spans="2:10" x14ac:dyDescent="0.3">
      <c r="D175" s="69" t="s">
        <v>214</v>
      </c>
    </row>
    <row r="176" spans="2:10" x14ac:dyDescent="0.3">
      <c r="D176" s="69" t="s">
        <v>215</v>
      </c>
    </row>
    <row r="177" spans="4:4" x14ac:dyDescent="0.3">
      <c r="D177" s="69" t="s">
        <v>216</v>
      </c>
    </row>
  </sheetData>
  <mergeCells count="44">
    <mergeCell ref="D3:E3"/>
    <mergeCell ref="F3:G3"/>
    <mergeCell ref="D4:E4"/>
    <mergeCell ref="F4:G4"/>
    <mergeCell ref="D16:E16"/>
    <mergeCell ref="F16:G16"/>
    <mergeCell ref="D17:E17"/>
    <mergeCell ref="F17:G17"/>
    <mergeCell ref="B32:C32"/>
    <mergeCell ref="D32:E32"/>
    <mergeCell ref="B33:C33"/>
    <mergeCell ref="D33:E33"/>
    <mergeCell ref="D36:E36"/>
    <mergeCell ref="F36:G36"/>
    <mergeCell ref="D37:E37"/>
    <mergeCell ref="F37:G37"/>
    <mergeCell ref="D52:E52"/>
    <mergeCell ref="F52:G52"/>
    <mergeCell ref="D53:E53"/>
    <mergeCell ref="F53:G53"/>
    <mergeCell ref="D68:E68"/>
    <mergeCell ref="F68:G68"/>
    <mergeCell ref="D69:E69"/>
    <mergeCell ref="F69:G69"/>
    <mergeCell ref="D94:E94"/>
    <mergeCell ref="F94:G94"/>
    <mergeCell ref="D95:E95"/>
    <mergeCell ref="F95:G95"/>
    <mergeCell ref="D108:E108"/>
    <mergeCell ref="F108:G108"/>
    <mergeCell ref="D109:E109"/>
    <mergeCell ref="F109:G109"/>
    <mergeCell ref="D122:E122"/>
    <mergeCell ref="F122:G122"/>
    <mergeCell ref="D123:E123"/>
    <mergeCell ref="F123:G123"/>
    <mergeCell ref="D149:E149"/>
    <mergeCell ref="F149:G149"/>
    <mergeCell ref="D135:E135"/>
    <mergeCell ref="F135:G135"/>
    <mergeCell ref="D136:E136"/>
    <mergeCell ref="F136:G136"/>
    <mergeCell ref="D148:E148"/>
    <mergeCell ref="F148:G148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37DB-9EDA-4B93-894A-5B84B0705EF5}">
  <sheetPr>
    <tabColor theme="7"/>
  </sheetPr>
  <dimension ref="B1:V68"/>
  <sheetViews>
    <sheetView showGridLines="0" workbookViewId="0">
      <pane xSplit="4" ySplit="3" topLeftCell="E10" activePane="bottomRight" state="frozen"/>
      <selection pane="topRight" activeCell="E1" sqref="E1"/>
      <selection pane="bottomLeft" activeCell="A4" sqref="A4"/>
      <selection pane="bottomRight" activeCell="N27" sqref="N27"/>
    </sheetView>
  </sheetViews>
  <sheetFormatPr defaultRowHeight="16.5" x14ac:dyDescent="0.3"/>
  <cols>
    <col min="1" max="1" width="1.625" customWidth="1"/>
    <col min="2" max="2" width="7.125" style="18" customWidth="1"/>
    <col min="3" max="3" width="5.625" style="18" customWidth="1"/>
    <col min="4" max="4" width="6.25" style="18" customWidth="1"/>
    <col min="5" max="5" width="10.875" style="18" customWidth="1"/>
    <col min="6" max="6" width="10.625" style="18" customWidth="1"/>
    <col min="7" max="7" width="12.375" style="18" customWidth="1"/>
    <col min="8" max="8" width="10.125" style="18" customWidth="1"/>
    <col min="9" max="9" width="11.375" style="18" customWidth="1"/>
    <col min="10" max="10" width="13.375" style="18" customWidth="1"/>
    <col min="11" max="11" width="5.625" style="18" bestFit="1" customWidth="1"/>
    <col min="12" max="12" width="0.625" style="18" customWidth="1"/>
    <col min="13" max="13" width="14.125" style="18" bestFit="1" customWidth="1"/>
    <col min="14" max="14" width="19" style="18" customWidth="1"/>
    <col min="15" max="15" width="20.75" style="18" customWidth="1"/>
    <col min="16" max="16" width="13.5" style="217" customWidth="1"/>
    <col min="17" max="17" width="1.625" style="18" customWidth="1"/>
    <col min="18" max="18" width="12.625" style="18" customWidth="1"/>
    <col min="19" max="22" width="8.625" style="18"/>
  </cols>
  <sheetData>
    <row r="1" spans="2:20" ht="21" customHeight="1" x14ac:dyDescent="0.3">
      <c r="B1" s="187" t="s">
        <v>166</v>
      </c>
    </row>
    <row r="2" spans="2:20" ht="21" customHeight="1" x14ac:dyDescent="0.3">
      <c r="B2" s="189" t="s">
        <v>185</v>
      </c>
      <c r="C2" s="461">
        <v>685000000</v>
      </c>
      <c r="D2" s="461"/>
      <c r="E2" s="461"/>
      <c r="F2" s="189" t="s">
        <v>170</v>
      </c>
      <c r="G2" s="190">
        <v>6850000</v>
      </c>
      <c r="H2" s="188"/>
      <c r="K2" s="186" t="s">
        <v>171</v>
      </c>
      <c r="M2" s="196" t="s">
        <v>186</v>
      </c>
      <c r="P2" s="219" t="s">
        <v>208</v>
      </c>
      <c r="R2" s="18" t="s">
        <v>299</v>
      </c>
    </row>
    <row r="3" spans="2:20" s="18" customFormat="1" ht="17.25" thickBot="1" x14ac:dyDescent="0.35">
      <c r="B3" s="183" t="s">
        <v>150</v>
      </c>
      <c r="C3" s="183" t="s">
        <v>149</v>
      </c>
      <c r="D3" s="183" t="s">
        <v>184</v>
      </c>
      <c r="E3" s="183" t="s">
        <v>144</v>
      </c>
      <c r="F3" s="183" t="s">
        <v>145</v>
      </c>
      <c r="G3" s="183" t="s">
        <v>148</v>
      </c>
      <c r="H3" s="183" t="s">
        <v>146</v>
      </c>
      <c r="I3" s="183" t="s">
        <v>147</v>
      </c>
      <c r="J3" s="459" t="s">
        <v>151</v>
      </c>
      <c r="K3" s="460"/>
      <c r="M3" s="183" t="s">
        <v>181</v>
      </c>
      <c r="N3" s="174" t="s">
        <v>187</v>
      </c>
      <c r="P3" s="218">
        <f>SUM(P4:P39)</f>
        <v>836747058.82996738</v>
      </c>
      <c r="R3" s="18" t="s">
        <v>300</v>
      </c>
    </row>
    <row r="4" spans="2:20" x14ac:dyDescent="0.3">
      <c r="B4" s="177">
        <v>1</v>
      </c>
      <c r="C4" s="177">
        <v>65</v>
      </c>
      <c r="D4" s="177">
        <v>2026</v>
      </c>
      <c r="E4" s="178">
        <v>2203450</v>
      </c>
      <c r="F4" s="110">
        <f>E4*12</f>
        <v>26441400</v>
      </c>
      <c r="G4" s="178">
        <f>SUM(F$4:F4)</f>
        <v>26441400</v>
      </c>
      <c r="H4" s="178">
        <v>7055362</v>
      </c>
      <c r="I4" s="178">
        <v>1057940</v>
      </c>
      <c r="J4" s="197">
        <v>34554702</v>
      </c>
      <c r="K4" s="179">
        <f>J4/J$39</f>
        <v>1.3216645871010135E-2</v>
      </c>
      <c r="L4" s="99"/>
      <c r="M4" s="198">
        <f>ROUND(G4-J4,-6)</f>
        <v>-8000000</v>
      </c>
      <c r="N4" s="174" t="s">
        <v>261</v>
      </c>
      <c r="O4" s="99"/>
      <c r="P4" s="17">
        <f>F4*1.02^(30-B4)</f>
        <v>46955819.79402981</v>
      </c>
      <c r="Q4" s="99"/>
      <c r="R4" s="99">
        <f>-G4*0.04/12</f>
        <v>-88138</v>
      </c>
      <c r="S4" s="99"/>
      <c r="T4" s="99"/>
    </row>
    <row r="5" spans="2:20" x14ac:dyDescent="0.3">
      <c r="B5" s="175">
        <v>2</v>
      </c>
      <c r="C5" s="175">
        <v>66</v>
      </c>
      <c r="D5" s="175">
        <v>2027</v>
      </c>
      <c r="E5" s="110">
        <v>2203450</v>
      </c>
      <c r="F5" s="110">
        <f t="shared" ref="F5:F39" si="0">E5*12</f>
        <v>26441400</v>
      </c>
      <c r="G5" s="110">
        <f>SUM(F$4:F5)</f>
        <v>52882800</v>
      </c>
      <c r="H5" s="110">
        <v>475724</v>
      </c>
      <c r="I5" s="110">
        <v>2450685</v>
      </c>
      <c r="J5" s="97">
        <v>63922511</v>
      </c>
      <c r="K5" s="176">
        <f t="shared" ref="K5:K39" si="1">J5/J$39</f>
        <v>2.4449384372429255E-2</v>
      </c>
      <c r="L5" s="99"/>
      <c r="M5" s="198">
        <f>ROUND(G5-J5,-6)</f>
        <v>-11000000</v>
      </c>
      <c r="N5" s="140" t="s">
        <v>262</v>
      </c>
      <c r="O5" s="99"/>
      <c r="P5" s="17">
        <f t="shared" ref="P5:P34" si="2">F5*1.02^(30-B5)</f>
        <v>46035117.445127271</v>
      </c>
      <c r="Q5" s="99"/>
      <c r="R5" s="99">
        <f t="shared" ref="R5:R39" si="3">-G5*0.04/12</f>
        <v>-176276</v>
      </c>
      <c r="S5" s="99"/>
      <c r="T5" s="99"/>
    </row>
    <row r="6" spans="2:20" x14ac:dyDescent="0.3">
      <c r="B6" s="201">
        <v>3</v>
      </c>
      <c r="C6" s="201">
        <v>67</v>
      </c>
      <c r="D6" s="201">
        <v>2028</v>
      </c>
      <c r="E6" s="164">
        <v>2203450</v>
      </c>
      <c r="F6" s="164">
        <f t="shared" si="0"/>
        <v>26441400</v>
      </c>
      <c r="G6" s="164">
        <f>SUM(F$4:F6)</f>
        <v>79324200</v>
      </c>
      <c r="H6" s="164">
        <v>762312</v>
      </c>
      <c r="I6" s="164">
        <v>3927034</v>
      </c>
      <c r="J6" s="97">
        <v>95053257</v>
      </c>
      <c r="K6" s="176">
        <f t="shared" si="1"/>
        <v>3.6356419356622295E-2</v>
      </c>
      <c r="L6" s="99"/>
      <c r="M6" s="199">
        <f t="shared" ref="M6:M39" si="4">ROUND(G6-J6,-6)</f>
        <v>-16000000</v>
      </c>
      <c r="N6" s="463" t="s">
        <v>195</v>
      </c>
      <c r="O6" s="464"/>
      <c r="P6" s="17">
        <f t="shared" si="2"/>
        <v>45132468.083458103</v>
      </c>
      <c r="Q6" s="99"/>
      <c r="R6" s="99">
        <f t="shared" si="3"/>
        <v>-264414</v>
      </c>
      <c r="S6" s="99"/>
      <c r="T6" s="99"/>
    </row>
    <row r="7" spans="2:20" x14ac:dyDescent="0.3">
      <c r="B7" s="175">
        <v>4</v>
      </c>
      <c r="C7" s="175">
        <v>68</v>
      </c>
      <c r="D7" s="175">
        <v>2029</v>
      </c>
      <c r="E7" s="110">
        <v>2203450</v>
      </c>
      <c r="F7" s="110">
        <f t="shared" si="0"/>
        <v>26441400</v>
      </c>
      <c r="G7" s="110">
        <f>SUM(F$4:F7)</f>
        <v>105765600</v>
      </c>
      <c r="H7" s="110">
        <v>1066103</v>
      </c>
      <c r="I7" s="110">
        <v>5492007</v>
      </c>
      <c r="J7" s="194">
        <v>128052767</v>
      </c>
      <c r="K7" s="176">
        <f t="shared" si="1"/>
        <v>4.8978228035130293E-2</v>
      </c>
      <c r="L7" s="99"/>
      <c r="M7" s="199">
        <f t="shared" si="4"/>
        <v>-22000000</v>
      </c>
      <c r="N7" s="465" t="s">
        <v>196</v>
      </c>
      <c r="O7" s="466"/>
      <c r="P7" s="17">
        <f t="shared" si="2"/>
        <v>44247517.728880502</v>
      </c>
      <c r="Q7" s="99"/>
      <c r="R7" s="99">
        <f t="shared" si="3"/>
        <v>-352552</v>
      </c>
      <c r="S7" s="99"/>
      <c r="T7" s="99"/>
    </row>
    <row r="8" spans="2:20" x14ac:dyDescent="0.3">
      <c r="B8" s="175">
        <v>5</v>
      </c>
      <c r="C8" s="175">
        <v>69</v>
      </c>
      <c r="D8" s="175">
        <v>2030</v>
      </c>
      <c r="E8" s="110">
        <v>2203450</v>
      </c>
      <c r="F8" s="110">
        <f t="shared" si="0"/>
        <v>26441400</v>
      </c>
      <c r="G8" s="110">
        <f>SUM(F$4:F8)</f>
        <v>132207000</v>
      </c>
      <c r="H8" s="110">
        <v>1388138</v>
      </c>
      <c r="I8" s="110">
        <v>7150928</v>
      </c>
      <c r="J8" s="194">
        <v>163033233</v>
      </c>
      <c r="K8" s="176">
        <f t="shared" si="1"/>
        <v>6.2357722134801896E-2</v>
      </c>
      <c r="L8" s="99"/>
      <c r="M8" s="199">
        <f t="shared" si="4"/>
        <v>-31000000</v>
      </c>
      <c r="N8" s="467" t="s">
        <v>189</v>
      </c>
      <c r="O8" s="468"/>
      <c r="P8" s="17">
        <f t="shared" si="2"/>
        <v>43379919.342039697</v>
      </c>
      <c r="Q8" s="99"/>
      <c r="R8" s="99">
        <f t="shared" si="3"/>
        <v>-440690</v>
      </c>
      <c r="S8" s="99"/>
      <c r="T8" s="99"/>
    </row>
    <row r="9" spans="2:20" ht="17.25" thickBot="1" x14ac:dyDescent="0.35">
      <c r="B9" s="180">
        <v>6</v>
      </c>
      <c r="C9" s="180">
        <v>70</v>
      </c>
      <c r="D9" s="180">
        <v>2031</v>
      </c>
      <c r="E9" s="181">
        <v>1542420</v>
      </c>
      <c r="F9" s="181">
        <f t="shared" si="0"/>
        <v>18509040</v>
      </c>
      <c r="G9" s="181">
        <f>SUM(F$4:F9)</f>
        <v>150716040</v>
      </c>
      <c r="H9" s="181">
        <v>1687940</v>
      </c>
      <c r="I9" s="181">
        <v>8695355</v>
      </c>
      <c r="J9" s="195">
        <v>191925568</v>
      </c>
      <c r="K9" s="182">
        <f t="shared" si="1"/>
        <v>7.3408599091622173E-2</v>
      </c>
      <c r="L9" s="99"/>
      <c r="M9" s="200">
        <f t="shared" si="4"/>
        <v>-41000000</v>
      </c>
      <c r="N9" s="202" t="s">
        <v>188</v>
      </c>
      <c r="O9" s="203"/>
      <c r="P9" s="17">
        <f t="shared" si="2"/>
        <v>29770629.388026919</v>
      </c>
      <c r="Q9" s="99"/>
      <c r="R9" s="99">
        <f t="shared" si="3"/>
        <v>-502386.80000000005</v>
      </c>
      <c r="S9" s="99"/>
      <c r="T9" s="99"/>
    </row>
    <row r="10" spans="2:20" x14ac:dyDescent="0.3">
      <c r="B10" s="177">
        <v>7</v>
      </c>
      <c r="C10" s="177">
        <v>71</v>
      </c>
      <c r="D10" s="177">
        <v>2032</v>
      </c>
      <c r="E10" s="178">
        <v>1542420</v>
      </c>
      <c r="F10" s="178">
        <f t="shared" si="0"/>
        <v>18509040</v>
      </c>
      <c r="G10" s="178">
        <f>SUM(F$4:F10)</f>
        <v>169225080</v>
      </c>
      <c r="H10" s="178">
        <v>1969890</v>
      </c>
      <c r="I10" s="178">
        <v>10147803</v>
      </c>
      <c r="J10" s="110">
        <v>222552301</v>
      </c>
      <c r="K10" s="179">
        <f t="shared" si="1"/>
        <v>8.5122856799501698E-2</v>
      </c>
      <c r="L10" s="99"/>
      <c r="M10" s="198">
        <f t="shared" si="4"/>
        <v>-53000000</v>
      </c>
      <c r="N10" s="202" t="s">
        <v>259</v>
      </c>
      <c r="O10" s="203"/>
      <c r="P10" s="17">
        <f t="shared" si="2"/>
        <v>29186891.556889135</v>
      </c>
      <c r="Q10" s="99"/>
      <c r="R10" s="99">
        <f t="shared" si="3"/>
        <v>-564083.6</v>
      </c>
      <c r="S10" s="99"/>
      <c r="T10" s="99"/>
    </row>
    <row r="11" spans="2:20" x14ac:dyDescent="0.3">
      <c r="B11" s="175">
        <v>8</v>
      </c>
      <c r="C11" s="175">
        <v>72</v>
      </c>
      <c r="D11" s="175">
        <v>2033</v>
      </c>
      <c r="E11" s="110">
        <v>1542420</v>
      </c>
      <c r="F11" s="110">
        <f t="shared" si="0"/>
        <v>18509040</v>
      </c>
      <c r="G11" s="110">
        <f>SUM(F$4:F11)</f>
        <v>187734120</v>
      </c>
      <c r="H11" s="110">
        <v>2268764</v>
      </c>
      <c r="I11" s="110">
        <v>11687440</v>
      </c>
      <c r="J11" s="110">
        <v>255017545</v>
      </c>
      <c r="K11" s="176">
        <f t="shared" si="1"/>
        <v>9.7540316891153958E-2</v>
      </c>
      <c r="L11" s="99"/>
      <c r="M11" s="199">
        <f t="shared" si="4"/>
        <v>-67000000</v>
      </c>
      <c r="N11" s="202" t="s">
        <v>190</v>
      </c>
      <c r="O11" s="203"/>
      <c r="P11" s="17">
        <f t="shared" si="2"/>
        <v>28614599.565577589</v>
      </c>
      <c r="Q11" s="99"/>
      <c r="R11" s="99">
        <f t="shared" si="3"/>
        <v>-625780.4</v>
      </c>
      <c r="S11" s="99"/>
      <c r="T11" s="99"/>
    </row>
    <row r="12" spans="2:20" x14ac:dyDescent="0.3">
      <c r="B12" s="175">
        <v>9</v>
      </c>
      <c r="C12" s="175">
        <v>73</v>
      </c>
      <c r="D12" s="175">
        <v>2034</v>
      </c>
      <c r="E12" s="110">
        <v>1542420</v>
      </c>
      <c r="F12" s="110">
        <f t="shared" si="0"/>
        <v>18509040</v>
      </c>
      <c r="G12" s="110">
        <f>SUM(F$4:F12)</f>
        <v>206243160</v>
      </c>
      <c r="H12" s="110">
        <v>2585580</v>
      </c>
      <c r="I12" s="110">
        <v>13319502</v>
      </c>
      <c r="J12" s="110">
        <v>289431667</v>
      </c>
      <c r="K12" s="176">
        <f t="shared" si="1"/>
        <v>0.11070319305879502</v>
      </c>
      <c r="L12" s="99"/>
      <c r="M12" s="199">
        <f t="shared" si="4"/>
        <v>-83000000</v>
      </c>
      <c r="N12" s="204" t="s">
        <v>192</v>
      </c>
      <c r="O12" s="203"/>
      <c r="P12" s="17">
        <f t="shared" si="2"/>
        <v>28053528.985860381</v>
      </c>
      <c r="Q12" s="99"/>
      <c r="R12" s="99">
        <f t="shared" si="3"/>
        <v>-687477.20000000007</v>
      </c>
      <c r="S12" s="99"/>
      <c r="T12" s="99"/>
    </row>
    <row r="13" spans="2:20" x14ac:dyDescent="0.3">
      <c r="B13" s="175">
        <v>10</v>
      </c>
      <c r="C13" s="175">
        <v>74</v>
      </c>
      <c r="D13" s="175">
        <v>2035</v>
      </c>
      <c r="E13" s="110">
        <v>1542420</v>
      </c>
      <c r="F13" s="110">
        <f t="shared" si="0"/>
        <v>18509040</v>
      </c>
      <c r="G13" s="110">
        <f>SUM(F$4:F13)</f>
        <v>224752200</v>
      </c>
      <c r="H13" s="110">
        <v>2921416</v>
      </c>
      <c r="I13" s="110">
        <v>15049533</v>
      </c>
      <c r="J13" s="110">
        <v>325911656</v>
      </c>
      <c r="K13" s="176">
        <f t="shared" si="1"/>
        <v>0.12465623180852423</v>
      </c>
      <c r="L13" s="99"/>
      <c r="M13" s="194">
        <f t="shared" si="4"/>
        <v>-101000000</v>
      </c>
      <c r="N13" s="202" t="s">
        <v>260</v>
      </c>
      <c r="O13" s="203"/>
      <c r="P13" s="17">
        <f t="shared" si="2"/>
        <v>27503459.790059198</v>
      </c>
      <c r="Q13" s="99"/>
      <c r="R13" s="99">
        <f t="shared" si="3"/>
        <v>-749174</v>
      </c>
      <c r="S13" s="99"/>
      <c r="T13" s="99"/>
    </row>
    <row r="14" spans="2:20" ht="17.25" thickBot="1" x14ac:dyDescent="0.35">
      <c r="B14" s="180">
        <v>11</v>
      </c>
      <c r="C14" s="180">
        <v>75</v>
      </c>
      <c r="D14" s="180">
        <v>2036</v>
      </c>
      <c r="E14" s="181">
        <v>1542420</v>
      </c>
      <c r="F14" s="181">
        <f t="shared" si="0"/>
        <v>18509040</v>
      </c>
      <c r="G14" s="181">
        <f>SUM(F$4:F14)</f>
        <v>243261240</v>
      </c>
      <c r="H14" s="181">
        <v>3277412</v>
      </c>
      <c r="I14" s="181">
        <v>16883420</v>
      </c>
      <c r="J14" s="181">
        <v>364581528</v>
      </c>
      <c r="K14" s="182">
        <f t="shared" si="1"/>
        <v>0.13944686736663989</v>
      </c>
      <c r="L14" s="99"/>
      <c r="M14" s="195">
        <f t="shared" si="4"/>
        <v>-121000000</v>
      </c>
      <c r="N14" s="204" t="s">
        <v>193</v>
      </c>
      <c r="O14" s="203"/>
      <c r="P14" s="17">
        <f t="shared" si="2"/>
        <v>26964176.264763918</v>
      </c>
      <c r="Q14" s="99"/>
      <c r="R14" s="99">
        <f t="shared" si="3"/>
        <v>-810870.79999999993</v>
      </c>
      <c r="S14" s="99"/>
      <c r="T14" s="99"/>
    </row>
    <row r="15" spans="2:20" x14ac:dyDescent="0.3">
      <c r="B15" s="175">
        <v>12</v>
      </c>
      <c r="C15" s="175">
        <v>76</v>
      </c>
      <c r="D15" s="175">
        <v>2037</v>
      </c>
      <c r="E15" s="110">
        <v>1542420</v>
      </c>
      <c r="F15" s="110">
        <f t="shared" si="0"/>
        <v>18509040</v>
      </c>
      <c r="G15" s="110">
        <f>SUM(F$4:F15)</f>
        <v>261770280</v>
      </c>
      <c r="H15" s="110">
        <v>3654776</v>
      </c>
      <c r="I15" s="110">
        <v>18827392</v>
      </c>
      <c r="J15" s="110">
        <v>405572736</v>
      </c>
      <c r="K15" s="176">
        <f t="shared" si="1"/>
        <v>0.15512537849837871</v>
      </c>
      <c r="L15" s="99"/>
      <c r="M15" s="194">
        <f t="shared" si="4"/>
        <v>-144000000</v>
      </c>
      <c r="N15" s="205" t="s">
        <v>191</v>
      </c>
      <c r="O15" s="203"/>
      <c r="P15" s="17">
        <f t="shared" si="2"/>
        <v>26435466.926239137</v>
      </c>
      <c r="Q15" s="99"/>
      <c r="R15" s="99">
        <f t="shared" si="3"/>
        <v>-872567.60000000009</v>
      </c>
      <c r="S15" s="99"/>
      <c r="T15" s="99"/>
    </row>
    <row r="16" spans="2:20" x14ac:dyDescent="0.3">
      <c r="B16" s="175">
        <v>13</v>
      </c>
      <c r="C16" s="175">
        <v>77</v>
      </c>
      <c r="D16" s="175">
        <v>2038</v>
      </c>
      <c r="E16" s="110">
        <v>1542420</v>
      </c>
      <c r="F16" s="110">
        <f t="shared" si="0"/>
        <v>18509040</v>
      </c>
      <c r="G16" s="110">
        <f>SUM(F$4:F16)</f>
        <v>280279320</v>
      </c>
      <c r="H16" s="110">
        <v>4054794</v>
      </c>
      <c r="I16" s="110">
        <v>20888063</v>
      </c>
      <c r="J16" s="110">
        <v>449024633</v>
      </c>
      <c r="K16" s="176">
        <f t="shared" si="1"/>
        <v>0.17174506559834582</v>
      </c>
      <c r="L16" s="99"/>
      <c r="M16" s="194">
        <f t="shared" si="4"/>
        <v>-169000000</v>
      </c>
      <c r="N16" s="206" t="s">
        <v>194</v>
      </c>
      <c r="O16" s="203"/>
      <c r="P16" s="17">
        <f t="shared" si="2"/>
        <v>25917124.437489349</v>
      </c>
      <c r="Q16" s="99"/>
      <c r="R16" s="99">
        <f t="shared" si="3"/>
        <v>-934264.4</v>
      </c>
      <c r="S16" s="99"/>
      <c r="T16" s="99"/>
    </row>
    <row r="17" spans="2:20" x14ac:dyDescent="0.3">
      <c r="B17" s="175">
        <v>14</v>
      </c>
      <c r="C17" s="175">
        <v>78</v>
      </c>
      <c r="D17" s="175">
        <v>2039</v>
      </c>
      <c r="E17" s="110">
        <v>1542420</v>
      </c>
      <c r="F17" s="110">
        <f t="shared" si="0"/>
        <v>18509040</v>
      </c>
      <c r="G17" s="110">
        <f>SUM(F$4:F17)</f>
        <v>298788360</v>
      </c>
      <c r="H17" s="110">
        <v>4478824</v>
      </c>
      <c r="I17" s="110">
        <v>23072436</v>
      </c>
      <c r="J17" s="110">
        <v>495084933</v>
      </c>
      <c r="K17" s="176">
        <f t="shared" si="1"/>
        <v>0.18936242701597542</v>
      </c>
      <c r="L17" s="99"/>
      <c r="M17" s="192">
        <f t="shared" si="4"/>
        <v>-196000000</v>
      </c>
      <c r="N17" s="207" t="s">
        <v>197</v>
      </c>
      <c r="O17" s="203"/>
      <c r="P17" s="17">
        <f t="shared" si="2"/>
        <v>25408945.526950341</v>
      </c>
      <c r="Q17" s="99"/>
      <c r="R17" s="99">
        <f t="shared" si="3"/>
        <v>-995961.20000000007</v>
      </c>
      <c r="S17" s="99"/>
      <c r="T17" s="99"/>
    </row>
    <row r="18" spans="2:20" x14ac:dyDescent="0.3">
      <c r="B18" s="175">
        <v>15</v>
      </c>
      <c r="C18" s="175">
        <v>79</v>
      </c>
      <c r="D18" s="175">
        <v>2040</v>
      </c>
      <c r="E18" s="110">
        <v>1542420</v>
      </c>
      <c r="F18" s="110">
        <f t="shared" si="0"/>
        <v>18509040</v>
      </c>
      <c r="G18" s="110">
        <f>SUM(F$4:F18)</f>
        <v>317297400</v>
      </c>
      <c r="H18" s="110">
        <v>4928311</v>
      </c>
      <c r="I18" s="110">
        <v>25387933</v>
      </c>
      <c r="J18" s="110">
        <v>543910217</v>
      </c>
      <c r="K18" s="176">
        <f t="shared" si="1"/>
        <v>0.2080373525928042</v>
      </c>
      <c r="L18" s="99"/>
      <c r="M18" s="192">
        <f t="shared" si="4"/>
        <v>-227000000</v>
      </c>
      <c r="N18" s="207" t="s">
        <v>258</v>
      </c>
      <c r="O18" s="203"/>
      <c r="P18" s="17">
        <f t="shared" si="2"/>
        <v>24910730.908774842</v>
      </c>
      <c r="Q18" s="99"/>
      <c r="R18" s="99">
        <f t="shared" si="3"/>
        <v>-1057658</v>
      </c>
      <c r="S18" s="99"/>
      <c r="T18" s="99"/>
    </row>
    <row r="19" spans="2:20" ht="17.25" thickBot="1" x14ac:dyDescent="0.35">
      <c r="B19" s="180">
        <v>16</v>
      </c>
      <c r="C19" s="180">
        <v>80</v>
      </c>
      <c r="D19" s="180">
        <v>2041</v>
      </c>
      <c r="E19" s="181">
        <v>1542420</v>
      </c>
      <c r="F19" s="181">
        <f t="shared" si="0"/>
        <v>18509040</v>
      </c>
      <c r="G19" s="181">
        <f>SUM(F$4:F19)</f>
        <v>335806440</v>
      </c>
      <c r="H19" s="181">
        <v>5404777</v>
      </c>
      <c r="I19" s="181">
        <v>27842430</v>
      </c>
      <c r="J19" s="181">
        <v>595666464</v>
      </c>
      <c r="K19" s="182">
        <f t="shared" si="1"/>
        <v>0.22783332676186319</v>
      </c>
      <c r="L19" s="99"/>
      <c r="M19" s="193">
        <f t="shared" si="4"/>
        <v>-260000000</v>
      </c>
      <c r="N19" s="99"/>
      <c r="O19" s="99"/>
      <c r="P19" s="17">
        <f t="shared" si="2"/>
        <v>24422285.204681221</v>
      </c>
      <c r="Q19" s="99"/>
      <c r="R19" s="99">
        <f t="shared" si="3"/>
        <v>-1119354.8</v>
      </c>
      <c r="S19" s="99"/>
      <c r="T19" s="99"/>
    </row>
    <row r="20" spans="2:20" x14ac:dyDescent="0.3">
      <c r="B20" s="175">
        <v>17</v>
      </c>
      <c r="C20" s="175">
        <v>81</v>
      </c>
      <c r="D20" s="175">
        <v>2042</v>
      </c>
      <c r="E20" s="110">
        <v>1542420</v>
      </c>
      <c r="F20" s="110">
        <f t="shared" si="0"/>
        <v>18509040</v>
      </c>
      <c r="G20" s="110">
        <f>SUM(F$4:F20)</f>
        <v>354315480</v>
      </c>
      <c r="H20" s="110">
        <v>5909846</v>
      </c>
      <c r="I20" s="110">
        <v>30444269</v>
      </c>
      <c r="J20" s="110">
        <v>650529619</v>
      </c>
      <c r="K20" s="176">
        <f t="shared" si="1"/>
        <v>0.24881764579900431</v>
      </c>
      <c r="L20" s="99"/>
      <c r="M20" s="192">
        <f t="shared" si="4"/>
        <v>-296000000</v>
      </c>
      <c r="N20" s="99"/>
      <c r="O20" s="99"/>
      <c r="P20" s="17">
        <f t="shared" si="2"/>
        <v>23943416.86733453</v>
      </c>
      <c r="Q20" s="99"/>
      <c r="R20" s="99">
        <f t="shared" si="3"/>
        <v>-1181051.6000000001</v>
      </c>
      <c r="S20" s="99"/>
      <c r="T20" s="99"/>
    </row>
    <row r="21" spans="2:20" x14ac:dyDescent="0.3">
      <c r="B21" s="201">
        <v>18</v>
      </c>
      <c r="C21" s="201">
        <v>82</v>
      </c>
      <c r="D21" s="201">
        <v>2043</v>
      </c>
      <c r="E21" s="164">
        <v>1542420</v>
      </c>
      <c r="F21" s="164">
        <f t="shared" si="0"/>
        <v>18509040</v>
      </c>
      <c r="G21" s="164">
        <f>SUM(F$4:F21)</f>
        <v>372824520</v>
      </c>
      <c r="H21" s="164">
        <v>6445237</v>
      </c>
      <c r="I21" s="164">
        <v>33202296</v>
      </c>
      <c r="J21" s="10">
        <v>708686192</v>
      </c>
      <c r="K21" s="215">
        <f t="shared" si="1"/>
        <v>0.27106164693125401</v>
      </c>
      <c r="L21" s="99"/>
      <c r="M21" s="192">
        <f t="shared" si="4"/>
        <v>-336000000</v>
      </c>
      <c r="N21" s="99"/>
      <c r="O21" s="99"/>
      <c r="P21" s="17">
        <f t="shared" si="2"/>
        <v>23473938.105229933</v>
      </c>
      <c r="Q21" s="99"/>
      <c r="R21" s="99">
        <f t="shared" si="3"/>
        <v>-1242748.4000000001</v>
      </c>
      <c r="S21" s="99"/>
      <c r="T21" s="99"/>
    </row>
    <row r="22" spans="2:20" x14ac:dyDescent="0.3">
      <c r="B22" s="201">
        <v>19</v>
      </c>
      <c r="C22" s="201">
        <v>83</v>
      </c>
      <c r="D22" s="201">
        <v>2044</v>
      </c>
      <c r="E22" s="164">
        <v>1542420</v>
      </c>
      <c r="F22" s="164">
        <f t="shared" si="0"/>
        <v>18509040</v>
      </c>
      <c r="G22" s="164">
        <f>SUM(F$4:F22)</f>
        <v>391333560</v>
      </c>
      <c r="H22" s="164">
        <v>7012766</v>
      </c>
      <c r="I22" s="164">
        <v>36125886</v>
      </c>
      <c r="J22" s="10">
        <v>770333884</v>
      </c>
      <c r="K22" s="215">
        <f t="shared" si="1"/>
        <v>0.29464094777225397</v>
      </c>
      <c r="L22" s="99"/>
      <c r="M22" s="192">
        <f t="shared" si="4"/>
        <v>-379000000</v>
      </c>
      <c r="N22" s="99"/>
      <c r="O22" s="99"/>
      <c r="P22" s="17">
        <f t="shared" si="2"/>
        <v>23013664.809048951</v>
      </c>
      <c r="Q22" s="99"/>
      <c r="R22" s="99">
        <f t="shared" si="3"/>
        <v>-1304445.2</v>
      </c>
      <c r="S22" s="99"/>
      <c r="T22" s="99"/>
    </row>
    <row r="23" spans="2:20" x14ac:dyDescent="0.3">
      <c r="B23" s="175">
        <v>20</v>
      </c>
      <c r="C23" s="175">
        <v>84</v>
      </c>
      <c r="D23" s="175">
        <v>2045</v>
      </c>
      <c r="E23" s="110">
        <v>1542420</v>
      </c>
      <c r="F23" s="110">
        <f t="shared" si="0"/>
        <v>18509040</v>
      </c>
      <c r="G23" s="110">
        <f>SUM(F$4:F23)</f>
        <v>409842600</v>
      </c>
      <c r="H23" s="110">
        <v>7614360</v>
      </c>
      <c r="I23" s="110">
        <v>39224980</v>
      </c>
      <c r="J23" s="110">
        <v>835682264</v>
      </c>
      <c r="K23" s="176">
        <f t="shared" si="1"/>
        <v>0.31963570526442397</v>
      </c>
      <c r="L23" s="99"/>
      <c r="M23" s="192">
        <f t="shared" si="4"/>
        <v>-426000000</v>
      </c>
      <c r="N23" s="99"/>
      <c r="O23" s="99"/>
      <c r="P23" s="17">
        <f t="shared" si="2"/>
        <v>22562416.479459759</v>
      </c>
      <c r="Q23" s="99"/>
      <c r="R23" s="99">
        <f t="shared" si="3"/>
        <v>-1366142</v>
      </c>
      <c r="S23" s="99"/>
      <c r="T23" s="99"/>
    </row>
    <row r="24" spans="2:20" ht="17.25" thickBot="1" x14ac:dyDescent="0.35">
      <c r="B24" s="180">
        <v>21</v>
      </c>
      <c r="C24" s="180">
        <v>85</v>
      </c>
      <c r="D24" s="180">
        <v>2046</v>
      </c>
      <c r="E24" s="181">
        <v>1542420</v>
      </c>
      <c r="F24" s="181">
        <f t="shared" si="0"/>
        <v>18509040</v>
      </c>
      <c r="G24" s="181">
        <f>SUM(F$4:F24)</f>
        <v>428351640</v>
      </c>
      <c r="H24" s="181">
        <v>8252072</v>
      </c>
      <c r="I24" s="181">
        <v>42510109</v>
      </c>
      <c r="J24" s="181">
        <v>904953485</v>
      </c>
      <c r="K24" s="182">
        <f t="shared" si="1"/>
        <v>0.34613088953802823</v>
      </c>
      <c r="L24" s="99"/>
      <c r="M24" s="193">
        <f t="shared" si="4"/>
        <v>-477000000</v>
      </c>
      <c r="N24" s="99"/>
      <c r="O24" s="99"/>
      <c r="P24" s="17">
        <f t="shared" si="2"/>
        <v>22120016.156333096</v>
      </c>
      <c r="Q24" s="99"/>
      <c r="R24" s="99">
        <f t="shared" si="3"/>
        <v>-1427838.8</v>
      </c>
      <c r="S24" s="99"/>
      <c r="T24" s="99"/>
    </row>
    <row r="25" spans="2:20" x14ac:dyDescent="0.3">
      <c r="B25" s="175">
        <v>22</v>
      </c>
      <c r="C25" s="175">
        <v>86</v>
      </c>
      <c r="D25" s="175">
        <v>2047</v>
      </c>
      <c r="E25" s="110">
        <v>1542420</v>
      </c>
      <c r="F25" s="110">
        <f t="shared" si="0"/>
        <v>18509040</v>
      </c>
      <c r="G25" s="110">
        <f>SUM(F$4:F25)</f>
        <v>446860680</v>
      </c>
      <c r="H25" s="110">
        <v>8928064</v>
      </c>
      <c r="I25" s="110">
        <v>45992445</v>
      </c>
      <c r="J25" s="110">
        <v>978383034</v>
      </c>
      <c r="K25" s="176">
        <f t="shared" si="1"/>
        <v>0.3742165707747232</v>
      </c>
      <c r="L25" s="99"/>
      <c r="M25" s="192">
        <f t="shared" si="4"/>
        <v>-532000000</v>
      </c>
      <c r="N25" s="99"/>
      <c r="O25" s="99"/>
      <c r="P25" s="17">
        <f t="shared" si="2"/>
        <v>21686290.349346172</v>
      </c>
      <c r="Q25" s="99"/>
      <c r="R25" s="99">
        <f t="shared" si="3"/>
        <v>-1489535.5999999999</v>
      </c>
      <c r="S25" s="99"/>
      <c r="T25" s="99"/>
    </row>
    <row r="26" spans="2:20" x14ac:dyDescent="0.3">
      <c r="B26" s="175">
        <v>23</v>
      </c>
      <c r="C26" s="175">
        <v>87</v>
      </c>
      <c r="D26" s="175">
        <v>2048</v>
      </c>
      <c r="E26" s="110">
        <v>1542420</v>
      </c>
      <c r="F26" s="110">
        <f t="shared" si="0"/>
        <v>18509040</v>
      </c>
      <c r="G26" s="110">
        <f>SUM(F$4:F26)</f>
        <v>465369720</v>
      </c>
      <c r="H26" s="110">
        <v>9644635</v>
      </c>
      <c r="I26" s="110">
        <v>49683821</v>
      </c>
      <c r="J26" s="110">
        <v>1056220530</v>
      </c>
      <c r="K26" s="176">
        <f t="shared" si="1"/>
        <v>0.40398822443037236</v>
      </c>
      <c r="L26" s="99"/>
      <c r="M26" s="192">
        <f t="shared" si="4"/>
        <v>-591000000</v>
      </c>
      <c r="N26" s="99"/>
      <c r="O26" s="99"/>
      <c r="P26" s="17">
        <f t="shared" si="2"/>
        <v>21261068.969947226</v>
      </c>
      <c r="Q26" s="99"/>
      <c r="R26" s="99">
        <f t="shared" si="3"/>
        <v>-1551232.4000000001</v>
      </c>
      <c r="S26" s="99"/>
      <c r="T26" s="99"/>
    </row>
    <row r="27" spans="2:20" x14ac:dyDescent="0.3">
      <c r="B27" s="175">
        <v>24</v>
      </c>
      <c r="C27" s="175">
        <v>88</v>
      </c>
      <c r="D27" s="175">
        <v>2049</v>
      </c>
      <c r="E27" s="110">
        <v>1542420</v>
      </c>
      <c r="F27" s="110">
        <f t="shared" si="0"/>
        <v>18509040</v>
      </c>
      <c r="G27" s="110">
        <f>SUM(F$4:F27)</f>
        <v>483878760</v>
      </c>
      <c r="H27" s="110">
        <v>10404223</v>
      </c>
      <c r="I27" s="110">
        <v>53596792</v>
      </c>
      <c r="J27" s="110">
        <v>1138730585</v>
      </c>
      <c r="K27" s="176">
        <f t="shared" si="1"/>
        <v>0.43554706055439879</v>
      </c>
      <c r="L27" s="99"/>
      <c r="M27" s="192">
        <f t="shared" si="4"/>
        <v>-655000000</v>
      </c>
      <c r="N27" s="99"/>
      <c r="O27" s="99"/>
      <c r="P27" s="17">
        <f t="shared" si="2"/>
        <v>20844185.264654148</v>
      </c>
      <c r="Q27" s="99"/>
      <c r="R27" s="99">
        <f t="shared" si="3"/>
        <v>-1612929.2000000002</v>
      </c>
      <c r="S27" s="99"/>
      <c r="T27" s="99"/>
    </row>
    <row r="28" spans="2:20" x14ac:dyDescent="0.3">
      <c r="B28" s="175">
        <v>25</v>
      </c>
      <c r="C28" s="175">
        <v>89</v>
      </c>
      <c r="D28" s="175">
        <v>2050</v>
      </c>
      <c r="E28" s="110">
        <v>1542420</v>
      </c>
      <c r="F28" s="110">
        <f t="shared" si="0"/>
        <v>18509040</v>
      </c>
      <c r="G28" s="110">
        <f>SUM(F$4:F28)</f>
        <v>502387800</v>
      </c>
      <c r="H28" s="110">
        <v>11209409</v>
      </c>
      <c r="I28" s="110">
        <v>57744656</v>
      </c>
      <c r="J28" s="110">
        <v>1226193690</v>
      </c>
      <c r="K28" s="176">
        <f t="shared" si="1"/>
        <v>0.46900036267125617</v>
      </c>
      <c r="L28" s="99"/>
      <c r="M28" s="192">
        <f t="shared" si="4"/>
        <v>-724000000</v>
      </c>
      <c r="N28" s="99"/>
      <c r="O28" s="99"/>
      <c r="P28" s="17">
        <f t="shared" si="2"/>
        <v>20435475.749660928</v>
      </c>
      <c r="Q28" s="99"/>
      <c r="R28" s="99">
        <f t="shared" si="3"/>
        <v>-1674626</v>
      </c>
      <c r="S28" s="99"/>
      <c r="T28" s="99"/>
    </row>
    <row r="29" spans="2:20" ht="17.25" thickBot="1" x14ac:dyDescent="0.35">
      <c r="B29" s="180">
        <v>26</v>
      </c>
      <c r="C29" s="180">
        <v>90</v>
      </c>
      <c r="D29" s="180">
        <v>2051</v>
      </c>
      <c r="E29" s="181">
        <v>1542420</v>
      </c>
      <c r="F29" s="181">
        <f t="shared" si="0"/>
        <v>18509040</v>
      </c>
      <c r="G29" s="181">
        <f>SUM(F$4:F29)</f>
        <v>520896840</v>
      </c>
      <c r="H29" s="181">
        <v>12062928</v>
      </c>
      <c r="I29" s="181">
        <v>62141516</v>
      </c>
      <c r="J29" s="181">
        <v>1318907174</v>
      </c>
      <c r="K29" s="182">
        <f t="shared" si="1"/>
        <v>0.50446185458328496</v>
      </c>
      <c r="L29" s="99"/>
      <c r="M29" s="193">
        <f t="shared" si="4"/>
        <v>-798000000</v>
      </c>
      <c r="N29" s="99"/>
      <c r="O29" s="99"/>
      <c r="P29" s="17">
        <f t="shared" si="2"/>
        <v>20034780.1467264</v>
      </c>
      <c r="Q29" s="99"/>
      <c r="R29" s="99">
        <f t="shared" si="3"/>
        <v>-1736322.8</v>
      </c>
      <c r="S29" s="99"/>
      <c r="T29" s="99"/>
    </row>
    <row r="30" spans="2:20" x14ac:dyDescent="0.3">
      <c r="B30" s="175">
        <v>27</v>
      </c>
      <c r="C30" s="175">
        <v>91</v>
      </c>
      <c r="D30" s="175">
        <v>2052</v>
      </c>
      <c r="E30" s="110">
        <v>1542420</v>
      </c>
      <c r="F30" s="110">
        <f t="shared" si="0"/>
        <v>18509040</v>
      </c>
      <c r="G30" s="110">
        <f>SUM(F$4:F30)</f>
        <v>539405880</v>
      </c>
      <c r="H30" s="110">
        <v>12967683</v>
      </c>
      <c r="I30" s="110">
        <v>68802318</v>
      </c>
      <c r="J30" s="110">
        <v>1417186215</v>
      </c>
      <c r="K30" s="176">
        <f t="shared" si="1"/>
        <v>0.54205208706277463</v>
      </c>
      <c r="L30" s="99"/>
      <c r="M30" s="192">
        <f t="shared" si="4"/>
        <v>-878000000</v>
      </c>
      <c r="N30" s="99"/>
      <c r="O30" s="99"/>
      <c r="P30" s="17">
        <f t="shared" si="2"/>
        <v>19641941.320319999</v>
      </c>
      <c r="Q30" s="99"/>
      <c r="R30" s="99">
        <f t="shared" si="3"/>
        <v>-1798019.5999999999</v>
      </c>
      <c r="S30" s="99"/>
      <c r="T30" s="99"/>
    </row>
    <row r="31" spans="2:20" x14ac:dyDescent="0.3">
      <c r="B31" s="175">
        <v>28</v>
      </c>
      <c r="C31" s="175">
        <v>92</v>
      </c>
      <c r="D31" s="175">
        <v>2053</v>
      </c>
      <c r="E31" s="110">
        <v>1542420</v>
      </c>
      <c r="F31" s="110">
        <f t="shared" si="0"/>
        <v>18509040</v>
      </c>
      <c r="G31" s="110">
        <f>SUM(F$4:F31)</f>
        <v>557914920</v>
      </c>
      <c r="H31" s="110">
        <v>13926754</v>
      </c>
      <c r="I31" s="110">
        <v>71742906</v>
      </c>
      <c r="J31" s="110">
        <v>1521364915</v>
      </c>
      <c r="K31" s="176">
        <f t="shared" si="1"/>
        <v>0.58189884902304856</v>
      </c>
      <c r="L31" s="99"/>
      <c r="M31" s="192">
        <f t="shared" si="4"/>
        <v>-963000000</v>
      </c>
      <c r="N31" s="99"/>
      <c r="O31" s="99"/>
      <c r="P31" s="17">
        <f t="shared" si="2"/>
        <v>19256805.215999998</v>
      </c>
      <c r="Q31" s="99"/>
      <c r="R31" s="99">
        <f t="shared" si="3"/>
        <v>-1859716.4000000001</v>
      </c>
      <c r="S31" s="99"/>
      <c r="T31" s="99"/>
    </row>
    <row r="32" spans="2:20" x14ac:dyDescent="0.3">
      <c r="B32" s="175">
        <v>29</v>
      </c>
      <c r="C32" s="175">
        <v>93</v>
      </c>
      <c r="D32" s="175">
        <v>2054</v>
      </c>
      <c r="E32" s="110">
        <v>1542420</v>
      </c>
      <c r="F32" s="110">
        <f t="shared" si="0"/>
        <v>18509040</v>
      </c>
      <c r="G32" s="110">
        <f>SUM(F$4:F32)</f>
        <v>576423960</v>
      </c>
      <c r="H32" s="110">
        <v>14943393</v>
      </c>
      <c r="I32" s="110">
        <v>76980075</v>
      </c>
      <c r="J32" s="110">
        <v>1631797423</v>
      </c>
      <c r="K32" s="176">
        <f t="shared" si="1"/>
        <v>0.62413759704881633</v>
      </c>
      <c r="L32" s="99"/>
      <c r="M32" s="192">
        <f t="shared" si="4"/>
        <v>-1055000000</v>
      </c>
      <c r="N32" s="99"/>
      <c r="O32" s="99"/>
      <c r="P32" s="17">
        <f t="shared" si="2"/>
        <v>18879220.800000001</v>
      </c>
      <c r="Q32" s="99"/>
      <c r="R32" s="99">
        <f t="shared" si="3"/>
        <v>-1921413.2000000002</v>
      </c>
      <c r="S32" s="99"/>
      <c r="T32" s="99"/>
    </row>
    <row r="33" spans="2:20" x14ac:dyDescent="0.3">
      <c r="B33" s="245">
        <v>30</v>
      </c>
      <c r="C33" s="245">
        <v>94</v>
      </c>
      <c r="D33" s="245">
        <v>2055</v>
      </c>
      <c r="E33" s="246">
        <v>1542420</v>
      </c>
      <c r="F33" s="246">
        <f t="shared" si="0"/>
        <v>18509040</v>
      </c>
      <c r="G33" s="246">
        <f>SUM(F$4:F33)</f>
        <v>594933000</v>
      </c>
      <c r="H33" s="246">
        <v>16021064</v>
      </c>
      <c r="I33" s="246">
        <v>82531630</v>
      </c>
      <c r="J33" s="246">
        <v>1748859157</v>
      </c>
      <c r="K33" s="247">
        <f t="shared" si="1"/>
        <v>0.66891192279251366</v>
      </c>
      <c r="L33" s="99"/>
      <c r="M33" s="248">
        <f t="shared" si="4"/>
        <v>-1154000000</v>
      </c>
      <c r="N33" s="99"/>
      <c r="O33" s="99"/>
      <c r="P33" s="17">
        <f t="shared" si="2"/>
        <v>18509040</v>
      </c>
      <c r="Q33" s="99"/>
      <c r="R33" s="99">
        <f t="shared" si="3"/>
        <v>-1983110</v>
      </c>
      <c r="S33" s="99"/>
      <c r="T33" s="99"/>
    </row>
    <row r="34" spans="2:20" ht="17.25" thickBot="1" x14ac:dyDescent="0.35">
      <c r="B34" s="180">
        <v>31</v>
      </c>
      <c r="C34" s="180">
        <v>95</v>
      </c>
      <c r="D34" s="180">
        <v>2056</v>
      </c>
      <c r="E34" s="181">
        <v>1542420</v>
      </c>
      <c r="F34" s="181">
        <f t="shared" si="0"/>
        <v>18509040</v>
      </c>
      <c r="G34" s="181">
        <f>SUM(F$4:F34)</f>
        <v>613442040</v>
      </c>
      <c r="H34" s="181">
        <v>17163426</v>
      </c>
      <c r="I34" s="181">
        <v>88416443</v>
      </c>
      <c r="J34" s="181">
        <v>1872948066</v>
      </c>
      <c r="K34" s="182">
        <f t="shared" si="1"/>
        <v>0.71637403567003177</v>
      </c>
      <c r="L34" s="99"/>
      <c r="M34" s="193">
        <f t="shared" si="4"/>
        <v>-1260000000</v>
      </c>
      <c r="N34" s="99"/>
      <c r="O34" s="99"/>
      <c r="P34" s="17">
        <f t="shared" si="2"/>
        <v>18146117.647058822</v>
      </c>
      <c r="Q34" s="99"/>
      <c r="R34" s="99">
        <f t="shared" si="3"/>
        <v>-2044806.8</v>
      </c>
      <c r="S34" s="99"/>
      <c r="T34" s="99"/>
    </row>
    <row r="35" spans="2:20" x14ac:dyDescent="0.3">
      <c r="B35" s="175">
        <v>32</v>
      </c>
      <c r="C35" s="175">
        <v>96</v>
      </c>
      <c r="D35" s="175">
        <v>2057</v>
      </c>
      <c r="E35" s="110">
        <v>1542420</v>
      </c>
      <c r="F35" s="110">
        <f t="shared" si="0"/>
        <v>18509040</v>
      </c>
      <c r="G35" s="110">
        <f>SUM(F$4:F35)</f>
        <v>631951080</v>
      </c>
      <c r="H35" s="110">
        <v>18374362</v>
      </c>
      <c r="I35" s="110">
        <v>94654518</v>
      </c>
      <c r="J35" s="110">
        <v>2004485986</v>
      </c>
      <c r="K35" s="176">
        <f t="shared" si="1"/>
        <v>0.76668528151001214</v>
      </c>
      <c r="L35" s="99"/>
      <c r="M35" s="192">
        <f t="shared" si="4"/>
        <v>-1373000000</v>
      </c>
      <c r="N35" s="99"/>
      <c r="O35" s="99"/>
      <c r="P35" s="17"/>
      <c r="Q35" s="99"/>
      <c r="R35" s="99">
        <f t="shared" si="3"/>
        <v>-2106503.6</v>
      </c>
      <c r="S35" s="99"/>
      <c r="T35" s="99"/>
    </row>
    <row r="36" spans="2:20" x14ac:dyDescent="0.3">
      <c r="B36" s="175">
        <v>33</v>
      </c>
      <c r="C36" s="175">
        <v>97</v>
      </c>
      <c r="D36" s="175">
        <v>2058</v>
      </c>
      <c r="E36" s="110">
        <v>1542420</v>
      </c>
      <c r="F36" s="110">
        <f t="shared" si="0"/>
        <v>18509040</v>
      </c>
      <c r="G36" s="110">
        <f>SUM(F$4:F36)</f>
        <v>650460120</v>
      </c>
      <c r="H36" s="110">
        <v>19657992</v>
      </c>
      <c r="I36" s="110">
        <v>101267066</v>
      </c>
      <c r="J36" s="110">
        <v>2143920084</v>
      </c>
      <c r="K36" s="176">
        <f t="shared" si="1"/>
        <v>0.82001669486179629</v>
      </c>
      <c r="L36" s="1"/>
      <c r="M36" s="192">
        <f t="shared" si="4"/>
        <v>-1493000000</v>
      </c>
      <c r="N36" s="99"/>
      <c r="O36" s="99"/>
      <c r="P36" s="17"/>
      <c r="Q36" s="99"/>
      <c r="R36" s="99">
        <f t="shared" si="3"/>
        <v>-2168200.4</v>
      </c>
      <c r="S36" s="99"/>
      <c r="T36" s="99"/>
    </row>
    <row r="37" spans="2:20" x14ac:dyDescent="0.3">
      <c r="B37" s="175">
        <v>34</v>
      </c>
      <c r="C37" s="175">
        <v>98</v>
      </c>
      <c r="D37" s="175">
        <v>2059</v>
      </c>
      <c r="E37" s="110">
        <v>1542420</v>
      </c>
      <c r="F37" s="110">
        <f t="shared" si="0"/>
        <v>18509040</v>
      </c>
      <c r="G37" s="110">
        <f>SUM(F$4:F37)</f>
        <v>668969160</v>
      </c>
      <c r="H37" s="110">
        <v>21018679</v>
      </c>
      <c r="I37" s="110">
        <v>108276559</v>
      </c>
      <c r="J37" s="110">
        <v>2291724362</v>
      </c>
      <c r="K37" s="176">
        <f t="shared" si="1"/>
        <v>0.87654957425246027</v>
      </c>
      <c r="L37" s="38" t="s">
        <v>152</v>
      </c>
      <c r="M37" s="192">
        <f t="shared" si="4"/>
        <v>-1623000000</v>
      </c>
      <c r="N37" s="99"/>
      <c r="O37" s="99"/>
      <c r="P37" s="17"/>
      <c r="Q37" s="99"/>
      <c r="R37" s="99">
        <f t="shared" si="3"/>
        <v>-2229897.2000000002</v>
      </c>
      <c r="S37" s="99"/>
      <c r="T37" s="99"/>
    </row>
    <row r="38" spans="2:20" x14ac:dyDescent="0.3">
      <c r="B38" s="175">
        <v>35</v>
      </c>
      <c r="C38" s="175">
        <v>99</v>
      </c>
      <c r="D38" s="175">
        <v>2060</v>
      </c>
      <c r="E38" s="110">
        <v>1542420</v>
      </c>
      <c r="F38" s="110">
        <f t="shared" si="0"/>
        <v>18509040</v>
      </c>
      <c r="G38" s="110">
        <f>SUM(F$4:F38)</f>
        <v>687478200</v>
      </c>
      <c r="H38" s="110">
        <v>22461047</v>
      </c>
      <c r="I38" s="110">
        <v>115706832</v>
      </c>
      <c r="J38" s="110">
        <v>2448401281</v>
      </c>
      <c r="K38" s="176">
        <f t="shared" si="1"/>
        <v>0.93647610334201625</v>
      </c>
      <c r="L38" s="38" t="s">
        <v>153</v>
      </c>
      <c r="M38" s="192">
        <f t="shared" si="4"/>
        <v>-1761000000</v>
      </c>
      <c r="N38" s="99"/>
      <c r="O38" s="99"/>
      <c r="P38" s="17"/>
      <c r="Q38" s="99"/>
      <c r="R38" s="99">
        <f t="shared" si="3"/>
        <v>-2291594</v>
      </c>
      <c r="S38" s="99"/>
      <c r="T38" s="99"/>
    </row>
    <row r="39" spans="2:20" x14ac:dyDescent="0.3">
      <c r="B39" s="175">
        <v>36</v>
      </c>
      <c r="C39" s="175">
        <v>100</v>
      </c>
      <c r="D39" s="175">
        <v>2061</v>
      </c>
      <c r="E39" s="110">
        <v>1542420</v>
      </c>
      <c r="F39" s="110">
        <f t="shared" si="0"/>
        <v>18509040</v>
      </c>
      <c r="G39" s="110">
        <f>SUM(F$4:F39)</f>
        <v>705987240</v>
      </c>
      <c r="H39" s="110">
        <v>23989998</v>
      </c>
      <c r="I39" s="110">
        <v>123583139</v>
      </c>
      <c r="J39" s="110">
        <v>2614483458</v>
      </c>
      <c r="K39" s="176">
        <f t="shared" si="1"/>
        <v>1</v>
      </c>
      <c r="L39" s="38"/>
      <c r="M39" s="192">
        <f t="shared" si="4"/>
        <v>-1908000000</v>
      </c>
      <c r="N39" s="99"/>
      <c r="O39" s="99"/>
      <c r="P39" s="17"/>
      <c r="Q39" s="99"/>
      <c r="R39" s="99">
        <f t="shared" si="3"/>
        <v>-2353290.8000000003</v>
      </c>
      <c r="S39" s="99"/>
      <c r="T39" s="99"/>
    </row>
    <row r="41" spans="2:20" x14ac:dyDescent="0.3">
      <c r="B41" s="184" t="s">
        <v>175</v>
      </c>
    </row>
    <row r="42" spans="2:20" x14ac:dyDescent="0.3">
      <c r="B42" s="185" t="s">
        <v>298</v>
      </c>
    </row>
    <row r="43" spans="2:20" x14ac:dyDescent="0.3">
      <c r="B43" s="185" t="s">
        <v>176</v>
      </c>
    </row>
    <row r="44" spans="2:20" x14ac:dyDescent="0.3">
      <c r="B44" s="185"/>
    </row>
    <row r="45" spans="2:20" x14ac:dyDescent="0.3">
      <c r="B45" s="184" t="s">
        <v>177</v>
      </c>
    </row>
    <row r="46" spans="2:20" x14ac:dyDescent="0.3">
      <c r="B46" s="185" t="s">
        <v>178</v>
      </c>
    </row>
    <row r="48" spans="2:20" x14ac:dyDescent="0.3">
      <c r="B48" s="184" t="s">
        <v>172</v>
      </c>
      <c r="E48" s="462">
        <v>156865000</v>
      </c>
      <c r="F48" s="462"/>
    </row>
    <row r="49" spans="2:2" x14ac:dyDescent="0.3">
      <c r="B49" s="185" t="s">
        <v>173</v>
      </c>
    </row>
    <row r="50" spans="2:2" x14ac:dyDescent="0.3">
      <c r="B50" s="185" t="s">
        <v>174</v>
      </c>
    </row>
    <row r="51" spans="2:2" x14ac:dyDescent="0.3">
      <c r="B51" s="185"/>
    </row>
    <row r="52" spans="2:2" x14ac:dyDescent="0.3">
      <c r="B52" s="184" t="s">
        <v>164</v>
      </c>
    </row>
    <row r="53" spans="2:2" x14ac:dyDescent="0.3">
      <c r="B53" s="185" t="s">
        <v>165</v>
      </c>
    </row>
    <row r="54" spans="2:2" x14ac:dyDescent="0.3">
      <c r="B54" s="185" t="s">
        <v>167</v>
      </c>
    </row>
    <row r="55" spans="2:2" x14ac:dyDescent="0.3">
      <c r="B55" s="191" t="s">
        <v>168</v>
      </c>
    </row>
    <row r="56" spans="2:2" x14ac:dyDescent="0.3">
      <c r="B56" s="185" t="s">
        <v>169</v>
      </c>
    </row>
    <row r="58" spans="2:2" x14ac:dyDescent="0.3">
      <c r="B58" s="184" t="s">
        <v>160</v>
      </c>
    </row>
    <row r="59" spans="2:2" x14ac:dyDescent="0.3">
      <c r="B59" s="185" t="s">
        <v>159</v>
      </c>
    </row>
    <row r="60" spans="2:2" x14ac:dyDescent="0.3">
      <c r="B60" s="185" t="s">
        <v>161</v>
      </c>
    </row>
    <row r="61" spans="2:2" x14ac:dyDescent="0.3">
      <c r="B61" s="185" t="s">
        <v>162</v>
      </c>
    </row>
    <row r="62" spans="2:2" x14ac:dyDescent="0.3">
      <c r="B62" s="185" t="s">
        <v>163</v>
      </c>
    </row>
    <row r="63" spans="2:2" x14ac:dyDescent="0.3">
      <c r="B63" s="185"/>
    </row>
    <row r="64" spans="2:2" x14ac:dyDescent="0.3">
      <c r="B64" s="184" t="s">
        <v>154</v>
      </c>
    </row>
    <row r="65" spans="2:2" x14ac:dyDescent="0.3">
      <c r="B65" s="185" t="s">
        <v>155</v>
      </c>
    </row>
    <row r="66" spans="2:2" x14ac:dyDescent="0.3">
      <c r="B66" s="185" t="s">
        <v>156</v>
      </c>
    </row>
    <row r="67" spans="2:2" x14ac:dyDescent="0.3">
      <c r="B67" s="185" t="s">
        <v>157</v>
      </c>
    </row>
    <row r="68" spans="2:2" x14ac:dyDescent="0.3">
      <c r="B68" s="185" t="s">
        <v>158</v>
      </c>
    </row>
  </sheetData>
  <mergeCells count="6">
    <mergeCell ref="J3:K3"/>
    <mergeCell ref="C2:E2"/>
    <mergeCell ref="E48:F48"/>
    <mergeCell ref="N6:O6"/>
    <mergeCell ref="N7:O7"/>
    <mergeCell ref="N8:O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현자산</vt:lpstr>
      <vt:lpstr>기초연금</vt:lpstr>
      <vt:lpstr>관리비</vt:lpstr>
      <vt:lpstr>실사용현황</vt:lpstr>
      <vt:lpstr>주택연금26년_상가31년_100만</vt:lpstr>
      <vt:lpstr>주택연금26년_상가31년_100만(구)</vt:lpstr>
      <vt:lpstr>주택연금26년_상가31년_120만(구)</vt:lpstr>
      <vt:lpstr>보증잔액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2026-02-06T22:40:30Z</dcterms:created>
  <dcterms:modified xsi:type="dcterms:W3CDTF">2026-10-09T01:54:51Z</dcterms:modified>
</cp:coreProperties>
</file>